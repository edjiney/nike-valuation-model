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Input_History" sheetId="2" r:id="rId6"/>
    <sheet state="visible" name="Assumptions" sheetId="3" r:id="rId7"/>
    <sheet state="visible" name="Model_Forecast" sheetId="4" r:id="rId8"/>
    <sheet state="visible" name="Summary" sheetId="5" r:id="rId9"/>
    <sheet state="visible" name="DCF" sheetId="6" r:id="rId10"/>
  </sheets>
  <definedNames/>
  <calcPr/>
</workbook>
</file>

<file path=xl/sharedStrings.xml><?xml version="1.0" encoding="utf-8"?>
<sst xmlns="http://schemas.openxmlformats.org/spreadsheetml/2006/main" count="292" uniqueCount="188">
  <si>
    <t>NIKE, INC. (NKE) - VALUATION &amp; INVESTMENT THESIS</t>
  </si>
  <si>
    <t>Model Date: January 17, 2026 | Analyst: Edney Naife</t>
  </si>
  <si>
    <t>PV of 3-Year Cash Flows</t>
  </si>
  <si>
    <t>PV of Terminal Value</t>
  </si>
  <si>
    <t>RECOMMENDATION</t>
  </si>
  <si>
    <t>SELL</t>
  </si>
  <si>
    <t>Investment Thesis: Operational Recovery Priced to Perfection</t>
  </si>
  <si>
    <r>
      <rPr>
        <rFont val="Arial"/>
        <b/>
        <color theme="1"/>
        <sz val="12.0"/>
      </rPr>
      <t>1. The View:</t>
    </r>
    <r>
      <rPr>
        <rFont val="Arial"/>
        <color theme="1"/>
        <sz val="12.0"/>
      </rPr>
      <t xml:space="preserve"> Nike is fundamentally sound but currently overvalued. Our DCF model yields an Intrinsic Value of $48.17, representing significant downside to the current trading price. The market appears to be pricing in a rapid "V-shaped" recovery that the financials do not yet support.</t>
    </r>
  </si>
  <si>
    <t>Current Share Price:</t>
  </si>
  <si>
    <t>2. Key Assumptions:</t>
  </si>
  <si>
    <t>Target Price (Base Case):</t>
  </si>
  <si>
    <r>
      <rPr>
        <rFont val="Arial"/>
        <b/>
        <color theme="1"/>
        <sz val="12.0"/>
      </rPr>
      <t>Margins:</t>
    </r>
    <r>
      <rPr>
        <rFont val="Arial"/>
        <color theme="1"/>
        <sz val="12.0"/>
      </rPr>
      <t xml:space="preserve"> Modeled an aggressive recovery in EBIT margins from 7.5% (2026) to 13.0% (2028) as inventory issues clear. Even with this optimism, the valuation does not reach $64.</t>
    </r>
  </si>
  <si>
    <t>Upside/ (Downside)</t>
  </si>
  <si>
    <r>
      <rPr>
        <rFont val="Arial"/>
        <b/>
        <color theme="1"/>
        <sz val="12.0"/>
      </rPr>
      <t>Balance Sheet:</t>
    </r>
    <r>
      <rPr>
        <rFont val="Arial"/>
        <color theme="1"/>
        <sz val="12.0"/>
      </rPr>
      <t xml:space="preserve"> Nike maintains a "Fortress Balance Sheet" with Net Debt of -0.78x EBITDA (Net Cash position), ensuring zero solvency risk.</t>
    </r>
  </si>
  <si>
    <t>Valuation Range:</t>
  </si>
  <si>
    <t>39 - 64</t>
  </si>
  <si>
    <r>
      <rPr>
        <rFont val="Arial"/>
        <b/>
        <color theme="1"/>
        <sz val="12.0"/>
      </rPr>
      <t>Capital Allocation:</t>
    </r>
    <r>
      <rPr>
        <rFont val="Arial"/>
        <color theme="1"/>
        <sz val="12.0"/>
      </rPr>
      <t xml:space="preserve"> The valuation is dragged down by declining Asset Turnover due to inefficient cash accumulation (~$12B by 2028) rather than buybacks.</t>
    </r>
  </si>
  <si>
    <r>
      <rPr>
        <rFont val="Arial"/>
        <b/>
        <color theme="1"/>
        <sz val="12.0"/>
      </rPr>
      <t>3. Conclusion:</t>
    </r>
    <r>
      <rPr>
        <rFont val="Arial"/>
        <color theme="1"/>
        <sz val="12.0"/>
      </rPr>
      <t xml:space="preserve"> While Nike remains a premier brand with long-term durability (2.5% Terminal Growth), the current price offers no margin of safety. We recommend waiting for a better entry point closer to $45-$50</t>
    </r>
  </si>
  <si>
    <t>Historical Financial Data - NIKE, Inc.</t>
  </si>
  <si>
    <t>Income Statement</t>
  </si>
  <si>
    <t>(in millions, except per share data)</t>
  </si>
  <si>
    <t>FY2023</t>
  </si>
  <si>
    <t>FY2024</t>
  </si>
  <si>
    <t>FY2025</t>
  </si>
  <si>
    <t>Revenues</t>
  </si>
  <si>
    <t>Cost of Goods Sold</t>
  </si>
  <si>
    <t>Gross Profit</t>
  </si>
  <si>
    <t>Demand Creation Expense</t>
  </si>
  <si>
    <t>Operating Overhead Expense</t>
  </si>
  <si>
    <t>Total Selling &amp; Administrative Expense</t>
  </si>
  <si>
    <t>Interest Expense</t>
  </si>
  <si>
    <t>Other (Income) Expense, net</t>
  </si>
  <si>
    <t>Income Before Income Taxes</t>
  </si>
  <si>
    <t>Income Tax Expense</t>
  </si>
  <si>
    <t>NET INCOME</t>
  </si>
  <si>
    <t>Diluted weighted average common shares</t>
  </si>
  <si>
    <t>Balance Sheet</t>
  </si>
  <si>
    <t>Assets</t>
  </si>
  <si>
    <t>Current assets:</t>
  </si>
  <si>
    <t xml:space="preserve">  Cash and equivalents</t>
  </si>
  <si>
    <t xml:space="preserve">  Short-term investments</t>
  </si>
  <si>
    <t xml:space="preserve">  Accounts receivable, net</t>
  </si>
  <si>
    <t xml:space="preserve">  Inventories</t>
  </si>
  <si>
    <t xml:space="preserve">  Prepaid expenses and other current assets</t>
  </si>
  <si>
    <t>Total Current assets:</t>
  </si>
  <si>
    <t xml:space="preserve">  Property, plant and equipment, net</t>
  </si>
  <si>
    <t xml:space="preserve">  Operating lease right-of-use assets, net</t>
  </si>
  <si>
    <t xml:space="preserve">  Identifiable intangible assets, net</t>
  </si>
  <si>
    <t xml:space="preserve">  Goodwill</t>
  </si>
  <si>
    <t xml:space="preserve">  Deferred income taxes and other assets</t>
  </si>
  <si>
    <t>Total Assets:</t>
  </si>
  <si>
    <t>Liabilities and Shareholders' Equity</t>
  </si>
  <si>
    <t>Current liabilities:</t>
  </si>
  <si>
    <t xml:space="preserve">  Current portion of long-term debt</t>
  </si>
  <si>
    <t>---</t>
  </si>
  <si>
    <t xml:space="preserve">  Notes payable</t>
  </si>
  <si>
    <t xml:space="preserve">  Accounts payable</t>
  </si>
  <si>
    <t xml:space="preserve">  Current portion of operating lease liabilities</t>
  </si>
  <si>
    <t xml:space="preserve">  Accrued liabilites</t>
  </si>
  <si>
    <t xml:space="preserve">  Income taxes payable</t>
  </si>
  <si>
    <t>Total current liabilites</t>
  </si>
  <si>
    <t xml:space="preserve">  Long-term debt</t>
  </si>
  <si>
    <t xml:space="preserve">  Operating lease liabilities</t>
  </si>
  <si>
    <t xml:space="preserve">  Deferred income taxes and other liabilities</t>
  </si>
  <si>
    <t xml:space="preserve">  Commitments and contingencies (Note 16)</t>
  </si>
  <si>
    <t xml:space="preserve">  Redeemable preferred stock</t>
  </si>
  <si>
    <t>--</t>
  </si>
  <si>
    <t>Shareholders' equity:</t>
  </si>
  <si>
    <t xml:space="preserve">  Common stock at stated value</t>
  </si>
  <si>
    <t xml:space="preserve">    Class A convertible — 290 and 298 shares outstanding</t>
  </si>
  <si>
    <t xml:space="preserve">    Class B — 1,186 and 1,205 shares outstanding</t>
  </si>
  <si>
    <t xml:space="preserve">  Capital in excess of stated value</t>
  </si>
  <si>
    <t xml:space="preserve">  Accumulated other comprehensive income (loss)</t>
  </si>
  <si>
    <t xml:space="preserve">  Retained earnings (deficit)</t>
  </si>
  <si>
    <t>Total shareholders' equity</t>
  </si>
  <si>
    <t>TOTAL LIABILITIES AND SHAREHOLDERS' EQUITY</t>
  </si>
  <si>
    <t>Historical Analysis &amp; Ratios</t>
  </si>
  <si>
    <t>Revenue Growth %</t>
  </si>
  <si>
    <t>Gross Margin %</t>
  </si>
  <si>
    <t>SGA Margin %</t>
  </si>
  <si>
    <t>Operating Margin %</t>
  </si>
  <si>
    <t>Effective Tax Rate</t>
  </si>
  <si>
    <t>Inventory Days (DIO)</t>
  </si>
  <si>
    <t>Receivable Days (DSO)</t>
  </si>
  <si>
    <t>Assumptions</t>
  </si>
  <si>
    <t>Assumption Label</t>
  </si>
  <si>
    <t>FY2026E</t>
  </si>
  <si>
    <t>FY2027E</t>
  </si>
  <si>
    <t>FY2028E</t>
  </si>
  <si>
    <t>Analyst Logic / Source</t>
  </si>
  <si>
    <t>Revenue Drivers</t>
  </si>
  <si>
    <t>FY26 impacted by China slowing &amp; franchise resets; recovery begins FY27.</t>
  </si>
  <si>
    <t>Margin Drivers</t>
  </si>
  <si>
    <t>FY26 hit by promotions/tariffs (down ~300bps); returning to 44% avg.</t>
  </si>
  <si>
    <t>SG&amp;A as % of Revenue</t>
  </si>
  <si>
    <t>Costs remain high in FY26 due to Olympics marketing; efficiency improves later.</t>
  </si>
  <si>
    <t>Management guidance for FY26 is ~20% due to earnings mix.</t>
  </si>
  <si>
    <t>CapEx (% of Rev)</t>
  </si>
  <si>
    <t>Investing in digital supply chain and new ERP systems.</t>
  </si>
  <si>
    <t>Depreciation (% of PP&amp;E)</t>
  </si>
  <si>
    <t>Standard straight-line depreciation on historical asset base.</t>
  </si>
  <si>
    <t>Working Capital</t>
  </si>
  <si>
    <t>Accounts Receivable Days (DSO)</t>
  </si>
  <si>
    <t>Slightly elevated in FY26 as wholesalers delay payments; normalizing to 35.</t>
  </si>
  <si>
    <t>Clearing excess stock in FY26 (current TTM is ~105 days).</t>
  </si>
  <si>
    <t>Accounts Payable Days (DPO)</t>
  </si>
  <si>
    <t>Stable supplier payment terms.</t>
  </si>
  <si>
    <t>Debt &amp; Equity</t>
  </si>
  <si>
    <t>Interest Rate on Debt</t>
  </si>
  <si>
    <t>Implied rate on current $8B debt load.</t>
  </si>
  <si>
    <t>Dividend Payout Ratio</t>
  </si>
  <si>
    <t>Nike consistently returns cash to shareholders (~30-40% of income).</t>
  </si>
  <si>
    <t>Model Forecast</t>
  </si>
  <si>
    <t>Revenue</t>
  </si>
  <si>
    <t>SG&amp;A Expenses</t>
  </si>
  <si>
    <t>Operating Income</t>
  </si>
  <si>
    <t xml:space="preserve">Interest Expense </t>
  </si>
  <si>
    <t>Income Before Tax</t>
  </si>
  <si>
    <t>Total current liabilites:</t>
  </si>
  <si>
    <t xml:space="preserve">  Common stock held in treasury, at cost</t>
  </si>
  <si>
    <t>PP&amp;E Schedule</t>
  </si>
  <si>
    <t>Beginning PP&amp;E Balance</t>
  </si>
  <si>
    <t>Plus: Capital Expenditures (CapEx)</t>
  </si>
  <si>
    <t>Less: Depreciation Expense</t>
  </si>
  <si>
    <t>Ending PP&amp;E Balance</t>
  </si>
  <si>
    <t>Debt Schedule</t>
  </si>
  <si>
    <t>Beginning Long-Term Debt</t>
  </si>
  <si>
    <t>Plus: New Debt Issued</t>
  </si>
  <si>
    <t>Less: Debt Repayment</t>
  </si>
  <si>
    <t>Ending Long-Term Debt</t>
  </si>
  <si>
    <t>Interest Rate</t>
  </si>
  <si>
    <t>Statement of Cash Flows</t>
  </si>
  <si>
    <t>Net Income</t>
  </si>
  <si>
    <t>Depreciation &amp; Amortization</t>
  </si>
  <si>
    <t>Changes in Working Capital:</t>
  </si>
  <si>
    <t xml:space="preserve">  (Increase) / Decrease in Accounts Receivable</t>
  </si>
  <si>
    <t xml:space="preserve">  (Increase) / Decrease in Inventory</t>
  </si>
  <si>
    <t xml:space="preserve">  (Increase) / Decrease in Prepaids</t>
  </si>
  <si>
    <t xml:space="preserve">  Increase / (Decrease) in Accounts Payable</t>
  </si>
  <si>
    <t xml:space="preserve">  Increase / (Decrease) in Accrued Liabilities</t>
  </si>
  <si>
    <t xml:space="preserve">  Increase / (Decrease) in Income Taxes Payable</t>
  </si>
  <si>
    <t>Cash Flow from Operations</t>
  </si>
  <si>
    <t>Capital Expenditures (CapEx)</t>
  </si>
  <si>
    <t>Cash Flow from Investing</t>
  </si>
  <si>
    <t>Debt Repayment</t>
  </si>
  <si>
    <t>Dividends Paid</t>
  </si>
  <si>
    <t>Cash Flow from Financing</t>
  </si>
  <si>
    <t>Net Change in Cash</t>
  </si>
  <si>
    <t>Beginning Cash Balance</t>
  </si>
  <si>
    <t>Ending Cash Balance</t>
  </si>
  <si>
    <t>SUMMARY</t>
  </si>
  <si>
    <t>Growth &amp; Profitability</t>
  </si>
  <si>
    <t>EBIT (Operating) Margin %</t>
  </si>
  <si>
    <t>Net Income Margin %</t>
  </si>
  <si>
    <t>Effective Tax Rate %</t>
  </si>
  <si>
    <t>Returns &amp; Solvency</t>
  </si>
  <si>
    <t>Return on Equity (ROE)</t>
  </si>
  <si>
    <t>Return on Assets (ROA)</t>
  </si>
  <si>
    <t>Current Ratio</t>
  </si>
  <si>
    <t>Net Debt / EBITDA</t>
  </si>
  <si>
    <t>Asset Turnover</t>
  </si>
  <si>
    <t>The DCF Valuation</t>
  </si>
  <si>
    <t>Free Cash Flow Situation</t>
  </si>
  <si>
    <t>EBIT (Operating Income)</t>
  </si>
  <si>
    <t>Less: Taxes on EBIT</t>
  </si>
  <si>
    <t>NOPAT (Net Operating Profit After Tax)</t>
  </si>
  <si>
    <t>Plus: Depreciation &amp; Amortization</t>
  </si>
  <si>
    <t>Capital Expenditures</t>
  </si>
  <si>
    <t>Change in Net Working Capital</t>
  </si>
  <si>
    <t>Unlevered Free Cash Flow (UFCF)</t>
  </si>
  <si>
    <t>Valuation Assumptions</t>
  </si>
  <si>
    <t>WACC (Discount Rate)</t>
  </si>
  <si>
    <t>Terminal Growth Rate</t>
  </si>
  <si>
    <t>Shares Outstanding (Millions)</t>
  </si>
  <si>
    <t>Net Debt (Cash)</t>
  </si>
  <si>
    <t>The Terminal Value</t>
  </si>
  <si>
    <t>-</t>
  </si>
  <si>
    <t>Discount Period</t>
  </si>
  <si>
    <t>Discount Factor</t>
  </si>
  <si>
    <t>PV of Free Cash Flow</t>
  </si>
  <si>
    <t>SUM of PV of FCF</t>
  </si>
  <si>
    <t>Plus: PV of Terminal Value</t>
  </si>
  <si>
    <t>Enterprise Value</t>
  </si>
  <si>
    <t>Less: Net Debt</t>
  </si>
  <si>
    <t>Equity Value</t>
  </si>
  <si>
    <t>Implied Share Value</t>
  </si>
  <si>
    <t>Sensitivity Analysis: Share Price.</t>
  </si>
  <si>
    <t xml:space="preserve">Growth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</si>
</sst>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45">
    <font>
      <sz val="10.0"/>
      <color rgb="FF000000"/>
      <name val="Arial"/>
      <scheme val="minor"/>
    </font>
    <font>
      <b/>
      <sz val="35.0"/>
      <color theme="4"/>
      <name val="Arial"/>
      <scheme val="minor"/>
    </font>
    <font>
      <b/>
      <sz val="35.0"/>
      <color rgb="FF4285F4"/>
      <name val="Arial"/>
      <scheme val="minor"/>
    </font>
    <font>
      <b/>
      <i/>
      <sz val="60.0"/>
      <color theme="1"/>
      <name val="Arial"/>
      <scheme val="minor"/>
    </font>
    <font>
      <sz val="22.0"/>
      <color theme="1"/>
      <name val="Arial"/>
      <scheme val="minor"/>
    </font>
    <font>
      <sz val="24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4.0"/>
      <color theme="5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rgb="FF4285F4"/>
      <name val="Arial"/>
      <scheme val="minor"/>
    </font>
    <font>
      <sz val="12.0"/>
      <color theme="7"/>
      <name val="Arial"/>
      <scheme val="minor"/>
    </font>
    <font>
      <b/>
      <sz val="26.0"/>
      <color theme="1"/>
      <name val="Arial"/>
      <scheme val="minor"/>
    </font>
    <font>
      <sz val="21.0"/>
      <color theme="4"/>
      <name val="Arial"/>
      <scheme val="minor"/>
    </font>
    <font>
      <sz val="12.0"/>
      <color theme="4"/>
      <name val="Arial"/>
      <scheme val="minor"/>
    </font>
    <font>
      <sz val="21.0"/>
      <color theme="1"/>
      <name val="Arial"/>
      <scheme val="minor"/>
    </font>
    <font>
      <sz val="21.0"/>
      <color rgb="FF6AA84F"/>
      <name val="Arial"/>
      <scheme val="minor"/>
    </font>
    <font>
      <b/>
      <sz val="30.0"/>
      <color theme="1"/>
      <name val="Arial"/>
      <scheme val="minor"/>
    </font>
    <font>
      <b/>
      <sz val="23.0"/>
      <color theme="1"/>
      <name val="Arial"/>
      <scheme val="minor"/>
    </font>
    <font>
      <sz val="15.0"/>
      <color theme="1"/>
      <name val="Arial"/>
      <scheme val="minor"/>
    </font>
    <font>
      <sz val="10.0"/>
      <color theme="1"/>
      <name val="Arial"/>
      <scheme val="minor"/>
    </font>
    <font>
      <sz val="12.0"/>
      <color theme="1"/>
      <name val="Arial"/>
    </font>
    <font>
      <sz val="12.0"/>
      <color rgb="FF4285F4"/>
      <name val="Arial"/>
    </font>
    <font>
      <b/>
      <sz val="15.0"/>
      <color theme="1"/>
      <name val="Arial"/>
      <scheme val="minor"/>
    </font>
    <font>
      <b/>
      <sz val="12.0"/>
      <color theme="1"/>
      <name val="Arial"/>
    </font>
    <font>
      <sz val="12.0"/>
      <color rgb="FF000000"/>
      <name val="Arial"/>
      <scheme val="minor"/>
    </font>
    <font>
      <b/>
      <sz val="12.0"/>
      <color rgb="FF1F1F1F"/>
      <name val="Arial"/>
      <scheme val="minor"/>
    </font>
    <font>
      <sz val="12.0"/>
      <color rgb="FF1F1F1F"/>
      <name val="Arial"/>
      <scheme val="minor"/>
    </font>
    <font>
      <b/>
      <sz val="12.0"/>
      <color theme="4"/>
      <name val="Arial"/>
      <scheme val="minor"/>
    </font>
    <font>
      <b/>
      <sz val="20.0"/>
      <color theme="1"/>
      <name val="Arial"/>
      <scheme val="minor"/>
    </font>
    <font>
      <sz val="12.0"/>
      <color theme="7"/>
      <name val="Arial"/>
    </font>
    <font>
      <b/>
      <sz val="20.0"/>
      <color theme="1"/>
      <name val="Arial"/>
    </font>
    <font>
      <color theme="1"/>
      <name val="Arial"/>
    </font>
    <font>
      <sz val="12.0"/>
      <color theme="4"/>
      <name val="Arial"/>
    </font>
    <font>
      <sz val="12.0"/>
      <color rgb="FF000000"/>
      <name val="Arial"/>
    </font>
    <font>
      <b/>
      <sz val="12.0"/>
      <color rgb="FF000000"/>
      <name val="Arial"/>
    </font>
    <font>
      <b/>
      <sz val="12.0"/>
      <color rgb="FF000000"/>
      <name val="Arial"/>
      <scheme val="minor"/>
    </font>
    <font>
      <sz val="12.0"/>
      <color rgb="FF444746"/>
      <name val="Arial"/>
      <scheme val="minor"/>
    </font>
    <font>
      <b/>
      <color rgb="FF1F1F1F"/>
      <name val="&quot;Google Sans Text&quot;"/>
    </font>
    <font>
      <b/>
      <sz val="23.0"/>
      <color rgb="FF1F1F1F"/>
      <name val="Arial"/>
      <scheme val="minor"/>
    </font>
    <font>
      <color rgb="FF1F1F1F"/>
      <name val="Arial"/>
      <scheme val="minor"/>
    </font>
    <font>
      <i/>
      <color rgb="FF1F1F1F"/>
      <name val="Arial"/>
      <scheme val="minor"/>
    </font>
    <font>
      <sz val="12.0"/>
      <color rgb="FF1F1F1F"/>
      <name val="Arial"/>
    </font>
    <font>
      <b/>
      <sz val="12.0"/>
      <color rgb="FF4285F4"/>
      <name val="Arial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3" xfId="0" applyFont="1" applyNumberFormat="1"/>
    <xf borderId="1" fillId="0" fontId="7" numFmtId="0" xfId="0" applyAlignment="1" applyBorder="1" applyFont="1">
      <alignment readingOrder="0"/>
    </xf>
    <xf borderId="2" fillId="0" fontId="8" numFmtId="0" xfId="0" applyAlignment="1" applyBorder="1" applyFont="1">
      <alignment horizontal="center" readingOrder="0"/>
    </xf>
    <xf borderId="3" fillId="0" fontId="9" numFmtId="0" xfId="0" applyAlignment="1" applyBorder="1" applyFont="1">
      <alignment readingOrder="0" shrinkToFit="0" vertical="top" wrapText="1"/>
    </xf>
    <xf borderId="4" fillId="0" fontId="6" numFmtId="0" xfId="0" applyBorder="1" applyFont="1"/>
    <xf borderId="5" fillId="0" fontId="6" numFmtId="0" xfId="0" applyBorder="1" applyFont="1"/>
    <xf borderId="6" fillId="0" fontId="10" numFmtId="0" xfId="0" applyAlignment="1" applyBorder="1" applyFont="1">
      <alignment readingOrder="0" shrinkToFit="0" vertical="top" wrapText="1"/>
    </xf>
    <xf borderId="4" fillId="0" fontId="10" numFmtId="0" xfId="0" applyAlignment="1" applyBorder="1" applyFont="1">
      <alignment readingOrder="0"/>
    </xf>
    <xf borderId="5" fillId="0" fontId="11" numFmtId="4" xfId="0" applyAlignment="1" applyBorder="1" applyFont="1" applyNumberFormat="1">
      <alignment horizontal="right" readingOrder="0"/>
    </xf>
    <xf borderId="6" fillId="0" fontId="9" numFmtId="0" xfId="0" applyAlignment="1" applyBorder="1" applyFont="1">
      <alignment readingOrder="0" shrinkToFit="0" vertical="top" wrapText="1"/>
    </xf>
    <xf borderId="5" fillId="0" fontId="12" numFmtId="4" xfId="0" applyBorder="1" applyFont="1" applyNumberFormat="1"/>
    <xf borderId="0" fillId="0" fontId="13" numFmtId="0" xfId="0" applyAlignment="1" applyFont="1">
      <alignment readingOrder="0"/>
    </xf>
    <xf borderId="5" fillId="0" fontId="10" numFmtId="10" xfId="0" applyBorder="1" applyFont="1" applyNumberFormat="1"/>
    <xf borderId="0" fillId="0" fontId="14" numFmtId="0" xfId="0" applyAlignment="1" applyFont="1">
      <alignment readingOrder="0"/>
    </xf>
    <xf borderId="5" fillId="0" fontId="15" numFmtId="0" xfId="0" applyAlignment="1" applyBorder="1" applyFont="1">
      <alignment horizontal="right" readingOrder="0"/>
    </xf>
    <xf borderId="0" fillId="0" fontId="16" numFmtId="0" xfId="0" applyAlignment="1" applyFont="1">
      <alignment readingOrder="0"/>
    </xf>
    <xf borderId="7" fillId="0" fontId="10" numFmtId="0" xfId="0" applyBorder="1" applyFont="1"/>
    <xf borderId="8" fillId="0" fontId="10" numFmtId="0" xfId="0" applyBorder="1" applyFont="1"/>
    <xf borderId="9" fillId="0" fontId="10" numFmtId="0" xfId="0" applyAlignment="1" applyBorder="1" applyFont="1">
      <alignment readingOrder="0" shrinkToFit="0" vertical="top" wrapText="1"/>
    </xf>
    <xf borderId="0" fillId="0" fontId="17" numFmtId="0" xfId="0" applyAlignment="1" applyFont="1">
      <alignment readingOrder="0"/>
    </xf>
    <xf borderId="0" fillId="0" fontId="10" numFmtId="0" xfId="0" applyAlignment="1" applyFont="1">
      <alignment shrinkToFit="0" vertical="top" wrapText="1"/>
    </xf>
    <xf borderId="0" fillId="0" fontId="10" numFmtId="0" xfId="0" applyAlignment="1" applyFont="1">
      <alignment readingOrder="0" shrinkToFit="0" vertical="top" wrapText="1"/>
    </xf>
    <xf borderId="10" fillId="0" fontId="18" numFmtId="0" xfId="0" applyAlignment="1" applyBorder="1" applyFont="1">
      <alignment readingOrder="0"/>
    </xf>
    <xf borderId="10" fillId="0" fontId="6" numFmtId="0" xfId="0" applyBorder="1" applyFont="1"/>
    <xf borderId="10" fillId="0" fontId="19" numFmtId="0" xfId="0" applyAlignment="1" applyBorder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10" fillId="0" fontId="10" numFmtId="0" xfId="0" applyAlignment="1" applyBorder="1" applyFont="1">
      <alignment horizontal="center" readingOrder="0"/>
    </xf>
    <xf borderId="0" fillId="0" fontId="20" numFmtId="0" xfId="0" applyFont="1"/>
    <xf borderId="0" fillId="0" fontId="22" numFmtId="0" xfId="0" applyAlignment="1" applyFont="1">
      <alignment vertical="bottom"/>
    </xf>
    <xf borderId="0" fillId="0" fontId="23" numFmtId="3" xfId="0" applyAlignment="1" applyFont="1" applyNumberFormat="1">
      <alignment horizontal="right" readingOrder="0"/>
    </xf>
    <xf borderId="0" fillId="0" fontId="11" numFmtId="3" xfId="0" applyAlignment="1" applyFont="1" applyNumberFormat="1">
      <alignment readingOrder="0"/>
    </xf>
    <xf borderId="0" fillId="0" fontId="24" numFmtId="0" xfId="0" applyAlignment="1" applyFont="1">
      <alignment readingOrder="0"/>
    </xf>
    <xf borderId="10" fillId="0" fontId="11" numFmtId="3" xfId="0" applyAlignment="1" applyBorder="1" applyFont="1" applyNumberFormat="1">
      <alignment readingOrder="0"/>
    </xf>
    <xf borderId="0" fillId="0" fontId="25" numFmtId="0" xfId="0" applyAlignment="1" applyFont="1">
      <alignment vertical="bottom"/>
    </xf>
    <xf borderId="0" fillId="0" fontId="26" numFmtId="3" xfId="0" applyFont="1" applyNumberFormat="1"/>
    <xf borderId="0" fillId="0" fontId="10" numFmtId="0" xfId="0" applyAlignment="1" applyFont="1">
      <alignment readingOrder="0"/>
    </xf>
    <xf borderId="0" fillId="0" fontId="15" numFmtId="164" xfId="0" applyAlignment="1" applyFont="1" applyNumberFormat="1">
      <alignment readingOrder="0"/>
    </xf>
    <xf borderId="0" fillId="0" fontId="10" numFmtId="0" xfId="0" applyFont="1"/>
    <xf borderId="0" fillId="0" fontId="26" numFmtId="3" xfId="0" applyAlignment="1" applyFont="1" applyNumberFormat="1">
      <alignment readingOrder="0"/>
    </xf>
    <xf borderId="10" fillId="0" fontId="13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10" fillId="0" fontId="9" numFmtId="0" xfId="0" applyAlignment="1" applyBorder="1" applyFont="1">
      <alignment readingOrder="0"/>
    </xf>
    <xf borderId="10" fillId="0" fontId="10" numFmtId="3" xfId="0" applyAlignment="1" applyBorder="1" applyFont="1" applyNumberFormat="1">
      <alignment readingOrder="0"/>
    </xf>
    <xf borderId="10" fillId="0" fontId="10" numFmtId="3" xfId="0" applyBorder="1" applyFont="1" applyNumberFormat="1"/>
    <xf borderId="0" fillId="0" fontId="15" numFmtId="3" xfId="0" applyAlignment="1" applyFont="1" applyNumberFormat="1">
      <alignment readingOrder="0"/>
    </xf>
    <xf borderId="0" fillId="0" fontId="15" numFmtId="0" xfId="0" applyAlignment="1" applyFont="1">
      <alignment horizontal="right" readingOrder="0"/>
    </xf>
    <xf borderId="0" fillId="0" fontId="15" numFmtId="0" xfId="0" applyAlignment="1" applyFont="1">
      <alignment readingOrder="0"/>
    </xf>
    <xf borderId="10" fillId="0" fontId="10" numFmtId="0" xfId="0" applyAlignment="1" applyBorder="1" applyFont="1">
      <alignment readingOrder="0"/>
    </xf>
    <xf borderId="10" fillId="0" fontId="15" numFmtId="0" xfId="0" applyAlignment="1" applyBorder="1" applyFont="1">
      <alignment readingOrder="0"/>
    </xf>
    <xf borderId="0" fillId="0" fontId="10" numFmtId="3" xfId="0" applyAlignment="1" applyFont="1" applyNumberFormat="1">
      <alignment readingOrder="0"/>
    </xf>
    <xf borderId="0" fillId="0" fontId="15" numFmtId="0" xfId="0" applyFont="1"/>
    <xf borderId="0" fillId="0" fontId="15" numFmtId="0" xfId="0" applyAlignment="1" applyFont="1">
      <alignment horizontal="right"/>
    </xf>
    <xf borderId="10" fillId="0" fontId="15" numFmtId="3" xfId="0" applyAlignment="1" applyBorder="1" applyFont="1" applyNumberFormat="1">
      <alignment readingOrder="0"/>
    </xf>
    <xf borderId="0" fillId="0" fontId="6" numFmtId="0" xfId="0" applyAlignment="1" applyFont="1">
      <alignment horizontal="center" readingOrder="0"/>
    </xf>
    <xf borderId="0" fillId="0" fontId="10" numFmtId="10" xfId="0" applyFont="1" applyNumberFormat="1"/>
    <xf borderId="0" fillId="0" fontId="22" numFmtId="0" xfId="0" applyAlignment="1" applyFont="1">
      <alignment vertical="bottom"/>
    </xf>
    <xf borderId="0" fillId="0" fontId="10" numFmtId="2" xfId="0" applyFont="1" applyNumberFormat="1"/>
    <xf borderId="10" fillId="0" fontId="10" numFmtId="2" xfId="0" applyBorder="1" applyFont="1" applyNumberFormat="1"/>
    <xf borderId="0" fillId="0" fontId="27" numFmtId="0" xfId="0" applyAlignment="1" applyFont="1">
      <alignment horizontal="center" readingOrder="0"/>
    </xf>
    <xf borderId="0" fillId="0" fontId="27" numFmtId="0" xfId="0" applyAlignment="1" applyFont="1">
      <alignment readingOrder="0"/>
    </xf>
    <xf borderId="0" fillId="0" fontId="28" numFmtId="0" xfId="0" applyFont="1"/>
    <xf borderId="0" fillId="0" fontId="28" numFmtId="10" xfId="0" applyFont="1" applyNumberFormat="1"/>
    <xf borderId="0" fillId="0" fontId="28" numFmtId="0" xfId="0" applyAlignment="1" applyFont="1">
      <alignment horizontal="left" readingOrder="0"/>
    </xf>
    <xf borderId="0" fillId="0" fontId="28" numFmtId="0" xfId="0" applyAlignment="1" applyFont="1">
      <alignment readingOrder="0"/>
    </xf>
    <xf borderId="0" fillId="0" fontId="29" numFmtId="10" xfId="0" applyAlignment="1" applyFont="1" applyNumberFormat="1">
      <alignment readingOrder="0"/>
    </xf>
    <xf borderId="0" fillId="0" fontId="15" numFmtId="0" xfId="0" applyFont="1"/>
    <xf borderId="0" fillId="0" fontId="15" numFmtId="10" xfId="0" applyFont="1" applyNumberFormat="1"/>
    <xf borderId="0" fillId="0" fontId="28" numFmtId="0" xfId="0" applyFont="1"/>
    <xf borderId="0" fillId="0" fontId="29" numFmtId="0" xfId="0" applyAlignment="1" applyFont="1">
      <alignment readingOrder="0"/>
    </xf>
    <xf borderId="10" fillId="0" fontId="30" numFmtId="0" xfId="0" applyAlignment="1" applyBorder="1" applyFont="1">
      <alignment readingOrder="0"/>
    </xf>
    <xf borderId="10" fillId="0" fontId="25" numFmtId="0" xfId="0" applyAlignment="1" applyBorder="1" applyFont="1">
      <alignment horizontal="center" vertical="bottom"/>
    </xf>
    <xf borderId="10" fillId="0" fontId="25" numFmtId="0" xfId="0" applyAlignment="1" applyBorder="1" applyFont="1">
      <alignment horizontal="center" readingOrder="0" vertical="bottom"/>
    </xf>
    <xf borderId="0" fillId="0" fontId="10" numFmtId="0" xfId="0" applyAlignment="1" applyFont="1">
      <alignment horizontal="center" readingOrder="0"/>
    </xf>
    <xf borderId="0" fillId="0" fontId="22" numFmtId="3" xfId="0" applyAlignment="1" applyFont="1" applyNumberFormat="1">
      <alignment horizontal="right" vertical="bottom"/>
    </xf>
    <xf borderId="0" fillId="0" fontId="22" numFmtId="0" xfId="0" applyAlignment="1" applyFont="1">
      <alignment readingOrder="0" vertical="bottom"/>
    </xf>
    <xf borderId="0" fillId="0" fontId="22" numFmtId="3" xfId="0" applyAlignment="1" applyFont="1" applyNumberFormat="1">
      <alignment vertical="bottom"/>
    </xf>
    <xf borderId="0" fillId="0" fontId="25" numFmtId="0" xfId="0" applyAlignment="1" applyFont="1">
      <alignment readingOrder="0" vertical="bottom"/>
    </xf>
    <xf borderId="0" fillId="0" fontId="22" numFmtId="3" xfId="0" applyAlignment="1" applyFont="1" applyNumberFormat="1">
      <alignment readingOrder="0" vertical="bottom"/>
    </xf>
    <xf borderId="10" fillId="0" fontId="22" numFmtId="3" xfId="0" applyAlignment="1" applyBorder="1" applyFont="1" applyNumberFormat="1">
      <alignment vertical="bottom"/>
    </xf>
    <xf borderId="10" fillId="0" fontId="25" numFmtId="3" xfId="0" applyAlignment="1" applyBorder="1" applyFont="1" applyNumberFormat="1">
      <alignment horizontal="center" vertical="bottom"/>
    </xf>
    <xf borderId="10" fillId="0" fontId="25" numFmtId="3" xfId="0" applyAlignment="1" applyBorder="1" applyFont="1" applyNumberFormat="1">
      <alignment horizontal="center" readingOrder="0" vertical="bottom"/>
    </xf>
    <xf borderId="0" fillId="0" fontId="10" numFmtId="3" xfId="0" applyFont="1" applyNumberFormat="1"/>
    <xf borderId="0" fillId="0" fontId="12" numFmtId="3" xfId="0" applyFont="1" applyNumberFormat="1"/>
    <xf borderId="0" fillId="0" fontId="12" numFmtId="3" xfId="0" applyAlignment="1" applyFont="1" applyNumberFormat="1">
      <alignment readingOrder="0"/>
    </xf>
    <xf borderId="0" fillId="0" fontId="31" numFmtId="3" xfId="0" applyAlignment="1" applyFont="1" applyNumberFormat="1">
      <alignment horizontal="right" readingOrder="0" vertical="bottom"/>
    </xf>
    <xf borderId="0" fillId="0" fontId="31" numFmtId="3" xfId="0" applyAlignment="1" applyFont="1" applyNumberFormat="1">
      <alignment horizontal="right" vertical="bottom"/>
    </xf>
    <xf borderId="0" fillId="0" fontId="25" numFmtId="3" xfId="0" applyAlignment="1" applyFont="1" applyNumberFormat="1">
      <alignment horizontal="center" vertical="bottom"/>
    </xf>
    <xf borderId="0" fillId="0" fontId="25" numFmtId="3" xfId="0" applyAlignment="1" applyFont="1" applyNumberFormat="1">
      <alignment horizontal="center" readingOrder="0" vertical="bottom"/>
    </xf>
    <xf borderId="0" fillId="0" fontId="12" numFmtId="0" xfId="0" applyAlignment="1" applyFont="1">
      <alignment horizontal="right" readingOrder="0"/>
    </xf>
    <xf borderId="0" fillId="0" fontId="12" numFmtId="0" xfId="0" applyFont="1"/>
    <xf borderId="0" fillId="0" fontId="30" numFmtId="0" xfId="0" applyAlignment="1" applyFont="1">
      <alignment readingOrder="0"/>
    </xf>
    <xf borderId="0" fillId="0" fontId="6" numFmtId="165" xfId="0" applyFont="1" applyNumberFormat="1"/>
    <xf borderId="0" fillId="0" fontId="32" numFmtId="0" xfId="0" applyAlignment="1" applyFont="1">
      <alignment vertical="bottom"/>
    </xf>
    <xf borderId="0" fillId="0" fontId="33" numFmtId="3" xfId="0" applyAlignment="1" applyFont="1" applyNumberFormat="1">
      <alignment vertical="bottom"/>
    </xf>
    <xf borderId="10" fillId="0" fontId="32" numFmtId="0" xfId="0" applyAlignment="1" applyBorder="1" applyFont="1">
      <alignment vertical="bottom"/>
    </xf>
    <xf borderId="0" fillId="0" fontId="31" numFmtId="3" xfId="0" applyAlignment="1" applyFont="1" applyNumberFormat="1">
      <alignment vertical="bottom"/>
    </xf>
    <xf borderId="10" fillId="0" fontId="22" numFmtId="3" xfId="0" applyAlignment="1" applyBorder="1" applyFont="1" applyNumberFormat="1">
      <alignment horizontal="right" vertical="bottom"/>
    </xf>
    <xf borderId="10" fillId="0" fontId="32" numFmtId="0" xfId="0" applyAlignment="1" applyBorder="1" applyFont="1">
      <alignment readingOrder="0" vertical="bottom"/>
    </xf>
    <xf borderId="0" fillId="0" fontId="34" numFmtId="3" xfId="0" applyAlignment="1" applyFont="1" applyNumberFormat="1">
      <alignment horizontal="right" readingOrder="0" vertical="bottom"/>
    </xf>
    <xf borderId="0" fillId="0" fontId="12" numFmtId="10" xfId="0" applyFont="1" applyNumberFormat="1"/>
    <xf borderId="0" fillId="0" fontId="35" numFmtId="0" xfId="0" applyAlignment="1" applyFont="1">
      <alignment vertical="bottom"/>
    </xf>
    <xf borderId="10" fillId="0" fontId="36" numFmtId="3" xfId="0" applyAlignment="1" applyBorder="1" applyFont="1" applyNumberFormat="1">
      <alignment horizontal="center" vertical="bottom"/>
    </xf>
    <xf borderId="0" fillId="0" fontId="26" numFmtId="0" xfId="0" applyAlignment="1" applyFont="1">
      <alignment vertical="bottom"/>
    </xf>
    <xf borderId="0" fillId="0" fontId="26" numFmtId="0" xfId="0" applyAlignment="1" applyFont="1">
      <alignment readingOrder="0" vertical="bottom"/>
    </xf>
    <xf borderId="0" fillId="0" fontId="37" numFmtId="0" xfId="0" applyAlignment="1" applyFont="1">
      <alignment vertical="bottom"/>
    </xf>
    <xf borderId="0" fillId="0" fontId="15" numFmtId="3" xfId="0" applyAlignment="1" applyFont="1" applyNumberFormat="1">
      <alignment horizontal="right" readingOrder="0"/>
    </xf>
    <xf borderId="10" fillId="0" fontId="26" numFmtId="3" xfId="0" applyAlignment="1" applyBorder="1" applyFont="1" applyNumberFormat="1">
      <alignment readingOrder="0"/>
    </xf>
    <xf borderId="0" fillId="0" fontId="26" numFmtId="0" xfId="0" applyAlignment="1" applyFont="1">
      <alignment readingOrder="0"/>
    </xf>
    <xf borderId="0" fillId="0" fontId="37" numFmtId="0" xfId="0" applyAlignment="1" applyFont="1">
      <alignment readingOrder="0"/>
    </xf>
    <xf borderId="10" fillId="0" fontId="37" numFmtId="0" xfId="0" applyAlignment="1" applyBorder="1" applyFont="1">
      <alignment readingOrder="0"/>
    </xf>
    <xf borderId="0" fillId="0" fontId="18" numFmtId="0" xfId="0" applyAlignment="1" applyFont="1">
      <alignment readingOrder="0"/>
    </xf>
    <xf borderId="0" fillId="0" fontId="38" numFmtId="9" xfId="0" applyAlignment="1" applyFont="1" applyNumberFormat="1">
      <alignment readingOrder="0"/>
    </xf>
    <xf borderId="0" fillId="0" fontId="38" numFmtId="10" xfId="0" applyAlignment="1" applyFont="1" applyNumberFormat="1">
      <alignment readingOrder="0"/>
    </xf>
    <xf borderId="0" fillId="0" fontId="38" numFmtId="10" xfId="0" applyFont="1" applyNumberFormat="1"/>
    <xf borderId="0" fillId="0" fontId="38" numFmtId="4" xfId="0" applyAlignment="1" applyFont="1" applyNumberFormat="1">
      <alignment readingOrder="0"/>
    </xf>
    <xf borderId="0" fillId="0" fontId="6" numFmtId="0" xfId="0" applyAlignment="1" applyFont="1">
      <alignment horizontal="center"/>
    </xf>
    <xf borderId="0" fillId="0" fontId="10" numFmtId="4" xfId="0" applyFont="1" applyNumberFormat="1"/>
    <xf borderId="0" fillId="0" fontId="19" numFmtId="0" xfId="0" applyAlignment="1" applyFont="1">
      <alignment readingOrder="0"/>
    </xf>
    <xf borderId="0" fillId="0" fontId="28" numFmtId="3" xfId="0" applyAlignment="1" applyFont="1" applyNumberFormat="1">
      <alignment readingOrder="0"/>
    </xf>
    <xf borderId="0" fillId="0" fontId="26" numFmtId="0" xfId="0" applyFont="1"/>
    <xf borderId="0" fillId="0" fontId="39" numFmtId="0" xfId="0" applyAlignment="1" applyFont="1">
      <alignment readingOrder="0"/>
    </xf>
    <xf borderId="10" fillId="0" fontId="40" numFmtId="0" xfId="0" applyAlignment="1" applyBorder="1" applyFont="1">
      <alignment readingOrder="0"/>
    </xf>
    <xf borderId="10" fillId="0" fontId="41" numFmtId="10" xfId="0" applyBorder="1" applyFont="1" applyNumberFormat="1"/>
    <xf borderId="0" fillId="0" fontId="42" numFmtId="3" xfId="0" applyAlignment="1" applyFont="1" applyNumberFormat="1">
      <alignment readingOrder="0"/>
    </xf>
    <xf borderId="0" fillId="0" fontId="43" numFmtId="0" xfId="0" applyAlignment="1" applyFont="1">
      <alignment vertical="bottom"/>
    </xf>
    <xf borderId="0" fillId="0" fontId="44" numFmtId="10" xfId="0" applyAlignment="1" applyFont="1" applyNumberFormat="1">
      <alignment horizontal="right" readingOrder="0" vertical="bottom"/>
    </xf>
    <xf borderId="0" fillId="0" fontId="23" numFmtId="3" xfId="0" applyAlignment="1" applyFont="1" applyNumberFormat="1">
      <alignment horizontal="right" vertical="bottom"/>
    </xf>
    <xf borderId="0" fillId="0" fontId="10" numFmtId="3" xfId="0" applyAlignment="1" applyFont="1" applyNumberFormat="1">
      <alignment horizontal="right"/>
    </xf>
    <xf borderId="0" fillId="0" fontId="10" numFmtId="4" xfId="0" applyAlignment="1" applyFont="1" applyNumberFormat="1">
      <alignment horizontal="right"/>
    </xf>
    <xf borderId="0" fillId="0" fontId="40" numFmtId="0" xfId="0" applyAlignment="1" applyFont="1">
      <alignment readingOrder="0"/>
    </xf>
    <xf borderId="0" fillId="0" fontId="15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Revenue Recovery: The Turnaround Trajectory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Summary!$B$4</c:f>
            </c:strRef>
          </c:cat>
          <c:val>
            <c:numRef>
              <c:f>Summary!$C$4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Summary!$B$4</c:f>
            </c:strRef>
          </c:cat>
          <c:val>
            <c:numRef>
              <c:f>Summary!$D$4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Summary!$B$4</c:f>
            </c:strRef>
          </c:cat>
          <c:val>
            <c:numRef>
              <c:f>Summary!$E$4</c:f>
              <c:numCache/>
            </c:numRef>
          </c:val>
        </c:ser>
        <c:axId val="96093238"/>
        <c:axId val="1049912638"/>
      </c:barChart>
      <c:catAx>
        <c:axId val="96093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9912638"/>
      </c:catAx>
      <c:valAx>
        <c:axId val="1049912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093238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Valuation Split: 88% Dependency on Terminal Value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Cover!$K$3:$K$4</c:f>
            </c:strRef>
          </c:cat>
          <c:val>
            <c:numRef>
              <c:f>Cover!$L$3:$L$4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12</xdr:row>
      <xdr:rowOff>342900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1171575</xdr:colOff>
      <xdr:row>13</xdr:row>
      <xdr:rowOff>142875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25"/>
    <col customWidth="1" min="2" max="2" width="26.75"/>
    <col customWidth="1" min="3" max="3" width="25.88"/>
    <col customWidth="1" min="5" max="5" width="234.5"/>
    <col customWidth="1" min="11" max="11" width="19.0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4" t="s">
        <v>1</v>
      </c>
    </row>
    <row r="3">
      <c r="A3" s="5"/>
      <c r="K3" s="6" t="s">
        <v>2</v>
      </c>
      <c r="L3" s="7">
        <f>DCF!C25</f>
        <v>8594.083643</v>
      </c>
    </row>
    <row r="4">
      <c r="A4" s="5"/>
      <c r="K4" s="6" t="s">
        <v>3</v>
      </c>
      <c r="L4" s="7">
        <f>DCF!E24</f>
        <v>63169.95593</v>
      </c>
    </row>
    <row r="5">
      <c r="K5" s="6"/>
    </row>
    <row r="6">
      <c r="B6" s="8" t="s">
        <v>4</v>
      </c>
      <c r="C6" s="9" t="s">
        <v>5</v>
      </c>
      <c r="E6" s="10" t="s">
        <v>6</v>
      </c>
    </row>
    <row r="7">
      <c r="B7" s="11"/>
      <c r="C7" s="12"/>
      <c r="E7" s="13" t="s">
        <v>7</v>
      </c>
    </row>
    <row r="8">
      <c r="B8" s="14" t="s">
        <v>8</v>
      </c>
      <c r="C8" s="15">
        <v>64.38</v>
      </c>
      <c r="E8" s="16" t="s">
        <v>9</v>
      </c>
    </row>
    <row r="9">
      <c r="B9" s="14" t="s">
        <v>10</v>
      </c>
      <c r="C9" s="17">
        <f>DCF!C30</f>
        <v>48.16520693</v>
      </c>
      <c r="E9" s="13" t="s">
        <v>11</v>
      </c>
    </row>
    <row r="10" ht="20.25" customHeight="1">
      <c r="A10" s="18"/>
      <c r="B10" s="14" t="s">
        <v>12</v>
      </c>
      <c r="C10" s="19">
        <f>(C9/C8)-1</f>
        <v>-0.2518607187</v>
      </c>
      <c r="E10" s="13" t="s">
        <v>13</v>
      </c>
      <c r="T10" s="18"/>
    </row>
    <row r="11" ht="16.5" customHeight="1">
      <c r="A11" s="20"/>
      <c r="B11" s="14" t="s">
        <v>14</v>
      </c>
      <c r="C11" s="21" t="s">
        <v>15</v>
      </c>
      <c r="E11" s="13" t="s">
        <v>16</v>
      </c>
      <c r="T11" s="20"/>
    </row>
    <row r="12" ht="18.0" customHeight="1">
      <c r="A12" s="22"/>
      <c r="B12" s="23"/>
      <c r="C12" s="24"/>
      <c r="E12" s="25" t="s">
        <v>17</v>
      </c>
      <c r="T12" s="22"/>
    </row>
    <row r="13">
      <c r="A13" s="26"/>
      <c r="E13" s="27"/>
      <c r="T13" s="26"/>
    </row>
    <row r="14">
      <c r="E14" s="28"/>
    </row>
    <row r="15">
      <c r="E15" s="27"/>
    </row>
    <row r="16">
      <c r="E16" s="28"/>
    </row>
    <row r="17">
      <c r="E17" s="27"/>
    </row>
    <row r="18">
      <c r="E18" s="2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57.0"/>
    <col customWidth="1" min="3" max="3" width="28.13"/>
    <col customWidth="1" min="4" max="4" width="26.13"/>
    <col customWidth="1" min="5" max="5" width="18.13"/>
  </cols>
  <sheetData>
    <row r="1">
      <c r="A1" s="29" t="s">
        <v>18</v>
      </c>
      <c r="B1" s="30"/>
      <c r="C1" s="30"/>
      <c r="D1" s="30"/>
      <c r="E1" s="30"/>
    </row>
    <row r="3">
      <c r="B3" s="31" t="s">
        <v>19</v>
      </c>
    </row>
    <row r="4" ht="27.0" customHeight="1">
      <c r="A4" s="32"/>
      <c r="B4" s="33" t="s">
        <v>20</v>
      </c>
      <c r="C4" s="34" t="s">
        <v>21</v>
      </c>
      <c r="D4" s="34" t="s">
        <v>22</v>
      </c>
      <c r="E4" s="34" t="s">
        <v>23</v>
      </c>
      <c r="F4" s="35"/>
      <c r="G4" s="35"/>
    </row>
    <row r="5">
      <c r="A5" s="32"/>
      <c r="B5" s="36" t="s">
        <v>24</v>
      </c>
      <c r="C5" s="37">
        <v>51217.0</v>
      </c>
      <c r="D5" s="38">
        <v>51362.0</v>
      </c>
      <c r="E5" s="38">
        <v>46309.0</v>
      </c>
      <c r="F5" s="35"/>
      <c r="G5" s="35"/>
    </row>
    <row r="6">
      <c r="A6" s="39"/>
      <c r="B6" s="36" t="s">
        <v>25</v>
      </c>
      <c r="C6" s="40">
        <v>28925.0</v>
      </c>
      <c r="D6" s="40">
        <v>28475.0</v>
      </c>
      <c r="E6" s="40">
        <v>26519.0</v>
      </c>
      <c r="F6" s="35"/>
      <c r="G6" s="35"/>
    </row>
    <row r="7">
      <c r="B7" s="41" t="s">
        <v>26</v>
      </c>
      <c r="C7" s="42">
        <f t="shared" ref="C7:E7" si="1">C5-C6</f>
        <v>22292</v>
      </c>
      <c r="D7" s="42">
        <f t="shared" si="1"/>
        <v>22887</v>
      </c>
      <c r="E7" s="42">
        <f t="shared" si="1"/>
        <v>19790</v>
      </c>
    </row>
    <row r="8">
      <c r="B8" s="43"/>
      <c r="C8" s="44"/>
      <c r="D8" s="44"/>
      <c r="E8" s="44"/>
      <c r="M8" s="45"/>
      <c r="N8" s="45"/>
      <c r="O8" s="45"/>
    </row>
    <row r="9">
      <c r="B9" s="43" t="s">
        <v>27</v>
      </c>
      <c r="C9" s="38">
        <v>4060.0</v>
      </c>
      <c r="D9" s="38">
        <v>4285.0</v>
      </c>
      <c r="E9" s="38">
        <v>4689.0</v>
      </c>
    </row>
    <row r="10">
      <c r="B10" s="43" t="s">
        <v>28</v>
      </c>
      <c r="C10" s="38">
        <v>11399.0</v>
      </c>
      <c r="D10" s="38">
        <v>12291.0</v>
      </c>
      <c r="E10" s="38">
        <v>11399.0</v>
      </c>
    </row>
    <row r="11">
      <c r="B11" s="43" t="s">
        <v>29</v>
      </c>
      <c r="C11" s="38">
        <v>16377.0</v>
      </c>
      <c r="D11" s="38">
        <v>16576.0</v>
      </c>
      <c r="E11" s="38">
        <v>16088.0</v>
      </c>
    </row>
    <row r="12">
      <c r="B12" s="43" t="s">
        <v>30</v>
      </c>
      <c r="C12" s="38">
        <v>6.0</v>
      </c>
      <c r="D12" s="38">
        <v>161.0</v>
      </c>
      <c r="E12" s="38">
        <v>107.0</v>
      </c>
    </row>
    <row r="13">
      <c r="B13" s="43" t="s">
        <v>31</v>
      </c>
      <c r="C13" s="38">
        <v>280.0</v>
      </c>
      <c r="D13" s="38">
        <v>228.0</v>
      </c>
      <c r="E13" s="38">
        <v>76.0</v>
      </c>
    </row>
    <row r="14">
      <c r="B14" s="43" t="s">
        <v>32</v>
      </c>
      <c r="C14" s="38">
        <v>6201.0</v>
      </c>
      <c r="D14" s="38">
        <v>6700.0</v>
      </c>
      <c r="E14" s="38">
        <v>3885.0</v>
      </c>
    </row>
    <row r="15">
      <c r="B15" s="43" t="s">
        <v>33</v>
      </c>
      <c r="C15" s="40">
        <v>1131.0</v>
      </c>
      <c r="D15" s="40">
        <v>1000.0</v>
      </c>
      <c r="E15" s="40">
        <v>666.0</v>
      </c>
    </row>
    <row r="16">
      <c r="B16" s="43" t="s">
        <v>34</v>
      </c>
      <c r="C16" s="46">
        <v>5070.0</v>
      </c>
      <c r="D16" s="46">
        <v>5700.0</v>
      </c>
      <c r="E16" s="46">
        <v>3219.0</v>
      </c>
    </row>
    <row r="17">
      <c r="B17" s="43" t="s">
        <v>35</v>
      </c>
      <c r="C17" s="44">
        <v>1569.8</v>
      </c>
      <c r="D17" s="44">
        <v>1529.7</v>
      </c>
      <c r="E17" s="44">
        <v>1487.6</v>
      </c>
    </row>
    <row r="19">
      <c r="B19" s="47" t="s">
        <v>36</v>
      </c>
    </row>
    <row r="21">
      <c r="B21" s="33" t="s">
        <v>20</v>
      </c>
      <c r="C21" s="34" t="s">
        <v>22</v>
      </c>
      <c r="D21" s="34" t="s">
        <v>23</v>
      </c>
    </row>
    <row r="22">
      <c r="B22" s="48" t="s">
        <v>37</v>
      </c>
      <c r="C22" s="45"/>
      <c r="D22" s="45"/>
    </row>
    <row r="23">
      <c r="B23" s="43" t="s">
        <v>38</v>
      </c>
      <c r="C23" s="45"/>
      <c r="D23" s="45"/>
    </row>
    <row r="24">
      <c r="B24" s="43" t="s">
        <v>39</v>
      </c>
      <c r="C24" s="38">
        <v>9860.0</v>
      </c>
      <c r="D24" s="38">
        <v>7464.0</v>
      </c>
    </row>
    <row r="25">
      <c r="B25" s="43" t="s">
        <v>40</v>
      </c>
      <c r="C25" s="38">
        <v>1722.0</v>
      </c>
      <c r="D25" s="38">
        <v>1687.0</v>
      </c>
    </row>
    <row r="26">
      <c r="B26" s="43" t="s">
        <v>41</v>
      </c>
      <c r="C26" s="38">
        <v>4427.0</v>
      </c>
      <c r="D26" s="38">
        <v>4717.0</v>
      </c>
    </row>
    <row r="27">
      <c r="B27" s="43" t="s">
        <v>42</v>
      </c>
      <c r="C27" s="38">
        <v>7519.0</v>
      </c>
      <c r="D27" s="38">
        <v>7489.0</v>
      </c>
    </row>
    <row r="28">
      <c r="B28" s="43" t="s">
        <v>43</v>
      </c>
      <c r="C28" s="38">
        <v>1854.0</v>
      </c>
      <c r="D28" s="38">
        <v>2005.0</v>
      </c>
    </row>
    <row r="29">
      <c r="B29" s="49" t="s">
        <v>44</v>
      </c>
      <c r="C29" s="50">
        <v>25382.0</v>
      </c>
      <c r="D29" s="50">
        <v>23362.0</v>
      </c>
    </row>
    <row r="30">
      <c r="B30" s="43" t="s">
        <v>45</v>
      </c>
      <c r="C30" s="38">
        <v>5000.0</v>
      </c>
      <c r="D30" s="38">
        <v>4828.0</v>
      </c>
    </row>
    <row r="31">
      <c r="B31" s="43" t="s">
        <v>46</v>
      </c>
      <c r="C31" s="38">
        <v>2718.0</v>
      </c>
      <c r="D31" s="38">
        <v>2712.0</v>
      </c>
    </row>
    <row r="32">
      <c r="B32" s="43" t="s">
        <v>47</v>
      </c>
      <c r="C32" s="38">
        <v>259.0</v>
      </c>
      <c r="D32" s="38">
        <v>259.0</v>
      </c>
    </row>
    <row r="33">
      <c r="B33" s="43" t="s">
        <v>48</v>
      </c>
      <c r="C33" s="38">
        <v>240.0</v>
      </c>
      <c r="D33" s="38">
        <v>240.0</v>
      </c>
    </row>
    <row r="34">
      <c r="B34" s="43" t="s">
        <v>49</v>
      </c>
      <c r="C34" s="40">
        <v>4511.0</v>
      </c>
      <c r="D34" s="40">
        <v>5178.0</v>
      </c>
    </row>
    <row r="35">
      <c r="B35" s="49" t="s">
        <v>50</v>
      </c>
      <c r="C35" s="51">
        <f t="shared" ref="C35:D35" si="2">SUM(C29:C34)</f>
        <v>38110</v>
      </c>
      <c r="D35" s="51">
        <f t="shared" si="2"/>
        <v>36579</v>
      </c>
    </row>
    <row r="36">
      <c r="B36" s="48" t="s">
        <v>51</v>
      </c>
      <c r="C36" s="45"/>
      <c r="D36" s="45"/>
    </row>
    <row r="37">
      <c r="B37" s="43" t="s">
        <v>52</v>
      </c>
      <c r="C37" s="45"/>
      <c r="D37" s="45"/>
    </row>
    <row r="38">
      <c r="B38" s="43" t="s">
        <v>53</v>
      </c>
      <c r="C38" s="52">
        <v>1000.0</v>
      </c>
      <c r="D38" s="53" t="s">
        <v>54</v>
      </c>
    </row>
    <row r="39">
      <c r="B39" s="43" t="s">
        <v>55</v>
      </c>
      <c r="C39" s="54">
        <v>6.0</v>
      </c>
      <c r="D39" s="54">
        <v>5.0</v>
      </c>
    </row>
    <row r="40">
      <c r="B40" s="43" t="s">
        <v>56</v>
      </c>
      <c r="C40" s="52">
        <v>2851.0</v>
      </c>
      <c r="D40" s="52">
        <v>3479.0</v>
      </c>
    </row>
    <row r="41">
      <c r="B41" s="43" t="s">
        <v>57</v>
      </c>
      <c r="C41" s="54">
        <v>477.0</v>
      </c>
      <c r="D41" s="54">
        <v>502.0</v>
      </c>
    </row>
    <row r="42">
      <c r="B42" s="43" t="s">
        <v>58</v>
      </c>
      <c r="C42" s="52">
        <v>5725.0</v>
      </c>
      <c r="D42" s="52">
        <v>5911.0</v>
      </c>
    </row>
    <row r="43">
      <c r="B43" s="55" t="s">
        <v>59</v>
      </c>
      <c r="C43" s="56">
        <v>534.0</v>
      </c>
      <c r="D43" s="56">
        <v>669.0</v>
      </c>
    </row>
    <row r="44">
      <c r="B44" s="48" t="s">
        <v>60</v>
      </c>
      <c r="C44" s="57">
        <v>10593.0</v>
      </c>
      <c r="D44" s="57">
        <v>10566.0</v>
      </c>
    </row>
    <row r="45">
      <c r="B45" s="43" t="s">
        <v>61</v>
      </c>
      <c r="C45" s="52">
        <v>7903.0</v>
      </c>
      <c r="D45" s="52">
        <v>7961.0</v>
      </c>
    </row>
    <row r="46">
      <c r="B46" s="43" t="s">
        <v>62</v>
      </c>
      <c r="C46" s="52">
        <v>2566.0</v>
      </c>
      <c r="D46" s="52">
        <v>2550.0</v>
      </c>
    </row>
    <row r="47">
      <c r="B47" s="43" t="s">
        <v>63</v>
      </c>
      <c r="C47" s="52">
        <v>2618.0</v>
      </c>
      <c r="D47" s="52">
        <v>2289.0</v>
      </c>
    </row>
    <row r="48">
      <c r="B48" s="43" t="s">
        <v>64</v>
      </c>
      <c r="C48" s="58"/>
      <c r="D48" s="58"/>
    </row>
    <row r="49">
      <c r="B49" s="43" t="s">
        <v>65</v>
      </c>
      <c r="C49" s="53" t="s">
        <v>66</v>
      </c>
      <c r="D49" s="53" t="s">
        <v>66</v>
      </c>
    </row>
    <row r="50">
      <c r="B50" s="48" t="s">
        <v>67</v>
      </c>
      <c r="C50" s="59"/>
      <c r="D50" s="59"/>
    </row>
    <row r="51">
      <c r="B51" s="43" t="s">
        <v>68</v>
      </c>
      <c r="C51" s="59"/>
      <c r="D51" s="59"/>
    </row>
    <row r="52">
      <c r="B52" s="43" t="s">
        <v>69</v>
      </c>
      <c r="C52" s="53" t="s">
        <v>66</v>
      </c>
      <c r="D52" s="53" t="s">
        <v>66</v>
      </c>
    </row>
    <row r="53">
      <c r="B53" s="43" t="s">
        <v>70</v>
      </c>
      <c r="C53" s="54">
        <v>3.0</v>
      </c>
      <c r="D53" s="54">
        <v>3.0</v>
      </c>
    </row>
    <row r="54">
      <c r="B54" s="43" t="s">
        <v>71</v>
      </c>
      <c r="C54" s="52">
        <v>13409.0</v>
      </c>
      <c r="D54" s="52">
        <v>14195.0</v>
      </c>
    </row>
    <row r="55">
      <c r="B55" s="43" t="s">
        <v>72</v>
      </c>
      <c r="C55" s="54">
        <v>53.0</v>
      </c>
      <c r="D55" s="54">
        <v>258.0</v>
      </c>
    </row>
    <row r="56">
      <c r="B56" s="43" t="s">
        <v>73</v>
      </c>
      <c r="C56" s="54">
        <v>965.0</v>
      </c>
      <c r="D56" s="54">
        <v>727.0</v>
      </c>
    </row>
    <row r="57">
      <c r="B57" s="55" t="s">
        <v>74</v>
      </c>
      <c r="C57" s="60">
        <v>14430.0</v>
      </c>
      <c r="D57" s="60">
        <v>13213.0</v>
      </c>
    </row>
    <row r="58">
      <c r="B58" s="48" t="s">
        <v>75</v>
      </c>
      <c r="C58" s="57">
        <v>38110.0</v>
      </c>
      <c r="D58" s="57">
        <v>36579.0</v>
      </c>
    </row>
    <row r="64">
      <c r="B64" s="47" t="s">
        <v>76</v>
      </c>
    </row>
    <row r="65">
      <c r="B65" s="45"/>
      <c r="C65" s="34" t="s">
        <v>22</v>
      </c>
      <c r="D65" s="34" t="s">
        <v>23</v>
      </c>
      <c r="E65" s="61"/>
    </row>
    <row r="66">
      <c r="B66" s="43" t="s">
        <v>77</v>
      </c>
      <c r="C66" s="62">
        <f t="shared" ref="C66:D66" si="3">(D5/C5)-1</f>
        <v>0.002831091239</v>
      </c>
      <c r="D66" s="62">
        <f t="shared" si="3"/>
        <v>-0.09838012538</v>
      </c>
    </row>
    <row r="67">
      <c r="B67" s="43" t="s">
        <v>78</v>
      </c>
      <c r="C67" s="62">
        <f t="shared" ref="C67:D67" si="4">D7/D5</f>
        <v>0.4456018068</v>
      </c>
      <c r="D67" s="62">
        <f t="shared" si="4"/>
        <v>0.4273467361</v>
      </c>
    </row>
    <row r="68">
      <c r="B68" s="43" t="s">
        <v>79</v>
      </c>
      <c r="C68" s="62">
        <f t="shared" ref="C68:D68" si="5">D11/D5</f>
        <v>0.3227288657</v>
      </c>
      <c r="D68" s="62">
        <f t="shared" si="5"/>
        <v>0.3474054719</v>
      </c>
    </row>
    <row r="69">
      <c r="B69" s="43" t="s">
        <v>80</v>
      </c>
      <c r="C69" s="62">
        <f t="shared" ref="C69:D69" si="6">(D7-D11)/D5</f>
        <v>0.1228729411</v>
      </c>
      <c r="D69" s="62">
        <f t="shared" si="6"/>
        <v>0.07994126412</v>
      </c>
    </row>
    <row r="70">
      <c r="B70" s="43" t="s">
        <v>81</v>
      </c>
      <c r="C70" s="62">
        <f t="shared" ref="C70:D70" si="7">D15/D14</f>
        <v>0.1492537313</v>
      </c>
      <c r="D70" s="62">
        <f t="shared" si="7"/>
        <v>0.1714285714</v>
      </c>
    </row>
    <row r="71">
      <c r="B71" s="63" t="s">
        <v>82</v>
      </c>
      <c r="C71" s="64">
        <f t="shared" ref="C71:D71" si="8">(C27/D6)*365</f>
        <v>96.38050922</v>
      </c>
      <c r="D71" s="64">
        <f t="shared" si="8"/>
        <v>103.0764735</v>
      </c>
    </row>
    <row r="72">
      <c r="B72" s="63" t="s">
        <v>83</v>
      </c>
      <c r="C72" s="65">
        <f t="shared" ref="C72:D72" si="9">(C26/D5)*365</f>
        <v>31.46012616</v>
      </c>
      <c r="D72" s="65">
        <f t="shared" si="9"/>
        <v>37.17862618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75"/>
    <col customWidth="1" min="3" max="3" width="15.75"/>
    <col customWidth="1" min="6" max="6" width="70.88"/>
    <col customWidth="1" min="7" max="7" width="49.25"/>
  </cols>
  <sheetData>
    <row r="1">
      <c r="A1" s="29" t="s">
        <v>84</v>
      </c>
      <c r="B1" s="30"/>
      <c r="C1" s="30"/>
      <c r="D1" s="30"/>
      <c r="E1" s="30"/>
    </row>
    <row r="3">
      <c r="B3" s="66" t="s">
        <v>85</v>
      </c>
      <c r="C3" s="66" t="s">
        <v>86</v>
      </c>
      <c r="D3" s="66" t="s">
        <v>87</v>
      </c>
      <c r="E3" s="66" t="s">
        <v>88</v>
      </c>
      <c r="F3" s="66" t="s">
        <v>89</v>
      </c>
      <c r="G3" s="66"/>
    </row>
    <row r="4">
      <c r="B4" s="67" t="s">
        <v>90</v>
      </c>
      <c r="C4" s="68"/>
      <c r="D4" s="69"/>
      <c r="E4" s="69"/>
      <c r="F4" s="69"/>
      <c r="G4" s="70"/>
    </row>
    <row r="5">
      <c r="B5" s="71" t="s">
        <v>77</v>
      </c>
      <c r="C5" s="72">
        <v>-0.05</v>
      </c>
      <c r="D5" s="72">
        <v>0.03</v>
      </c>
      <c r="E5" s="72">
        <v>0.05</v>
      </c>
      <c r="F5" s="71" t="s">
        <v>91</v>
      </c>
      <c r="G5" s="70"/>
    </row>
    <row r="6">
      <c r="B6" s="67" t="s">
        <v>92</v>
      </c>
      <c r="C6" s="73"/>
      <c r="D6" s="74"/>
      <c r="E6" s="74"/>
      <c r="F6" s="69"/>
      <c r="G6" s="70"/>
    </row>
    <row r="7">
      <c r="B7" s="71" t="s">
        <v>78</v>
      </c>
      <c r="C7" s="72">
        <v>0.41</v>
      </c>
      <c r="D7" s="72">
        <v>0.435</v>
      </c>
      <c r="E7" s="72">
        <v>0.445</v>
      </c>
      <c r="F7" s="71" t="s">
        <v>93</v>
      </c>
      <c r="G7" s="70"/>
    </row>
    <row r="8">
      <c r="B8" s="71" t="s">
        <v>94</v>
      </c>
      <c r="C8" s="72">
        <v>0.335</v>
      </c>
      <c r="D8" s="72">
        <v>0.325</v>
      </c>
      <c r="E8" s="72">
        <v>0.315</v>
      </c>
      <c r="F8" s="71" t="s">
        <v>95</v>
      </c>
      <c r="G8" s="70"/>
    </row>
    <row r="9">
      <c r="B9" s="71" t="s">
        <v>81</v>
      </c>
      <c r="C9" s="72">
        <v>0.205</v>
      </c>
      <c r="D9" s="72">
        <v>0.18</v>
      </c>
      <c r="E9" s="72">
        <v>0.17</v>
      </c>
      <c r="F9" s="71" t="s">
        <v>96</v>
      </c>
      <c r="G9" s="70"/>
    </row>
    <row r="10">
      <c r="B10" s="71" t="s">
        <v>97</v>
      </c>
      <c r="C10" s="72">
        <v>0.03</v>
      </c>
      <c r="D10" s="72">
        <v>0.035</v>
      </c>
      <c r="E10" s="72">
        <v>0.035</v>
      </c>
      <c r="F10" s="71" t="s">
        <v>98</v>
      </c>
    </row>
    <row r="11">
      <c r="B11" s="71" t="s">
        <v>99</v>
      </c>
      <c r="C11" s="72">
        <v>0.15</v>
      </c>
      <c r="D11" s="72">
        <v>0.15</v>
      </c>
      <c r="E11" s="72">
        <v>0.15</v>
      </c>
      <c r="F11" s="71" t="s">
        <v>100</v>
      </c>
    </row>
    <row r="12">
      <c r="B12" s="67" t="s">
        <v>101</v>
      </c>
      <c r="C12" s="58"/>
      <c r="D12" s="58"/>
      <c r="E12" s="58"/>
      <c r="F12" s="75"/>
    </row>
    <row r="13">
      <c r="B13" s="71" t="s">
        <v>102</v>
      </c>
      <c r="C13" s="76">
        <v>37.0</v>
      </c>
      <c r="D13" s="76">
        <v>36.0</v>
      </c>
      <c r="E13" s="76">
        <v>35.0</v>
      </c>
      <c r="F13" s="71" t="s">
        <v>103</v>
      </c>
    </row>
    <row r="14">
      <c r="B14" s="71" t="s">
        <v>82</v>
      </c>
      <c r="C14" s="76">
        <v>105.0</v>
      </c>
      <c r="D14" s="76">
        <v>100.0</v>
      </c>
      <c r="E14" s="76">
        <v>95.0</v>
      </c>
      <c r="F14" s="71" t="s">
        <v>104</v>
      </c>
    </row>
    <row r="15">
      <c r="B15" s="71" t="s">
        <v>105</v>
      </c>
      <c r="C15" s="76">
        <v>40.0</v>
      </c>
      <c r="D15" s="76">
        <v>40.0</v>
      </c>
      <c r="E15" s="76">
        <v>40.0</v>
      </c>
      <c r="F15" s="71" t="s">
        <v>106</v>
      </c>
    </row>
    <row r="16">
      <c r="B16" s="67" t="s">
        <v>107</v>
      </c>
      <c r="C16" s="58"/>
      <c r="D16" s="58"/>
      <c r="E16" s="58"/>
      <c r="F16" s="75"/>
    </row>
    <row r="17">
      <c r="B17" s="71" t="s">
        <v>108</v>
      </c>
      <c r="C17" s="72">
        <v>0.035</v>
      </c>
      <c r="D17" s="72">
        <v>0.035</v>
      </c>
      <c r="E17" s="72">
        <v>0.035</v>
      </c>
      <c r="F17" s="71" t="s">
        <v>109</v>
      </c>
    </row>
    <row r="18">
      <c r="B18" s="71" t="s">
        <v>110</v>
      </c>
      <c r="C18" s="72">
        <v>0.35</v>
      </c>
      <c r="D18" s="72">
        <v>0.35</v>
      </c>
      <c r="E18" s="72">
        <v>0.35</v>
      </c>
      <c r="F18" s="71" t="s">
        <v>111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25"/>
    <col customWidth="1" min="3" max="3" width="16.38"/>
    <col customWidth="1" min="4" max="4" width="15.25"/>
  </cols>
  <sheetData>
    <row r="1">
      <c r="A1" s="29" t="s">
        <v>112</v>
      </c>
      <c r="B1" s="30"/>
      <c r="C1" s="30"/>
      <c r="D1" s="30"/>
      <c r="E1" s="30"/>
    </row>
    <row r="3">
      <c r="B3" s="77" t="s">
        <v>19</v>
      </c>
    </row>
    <row r="4">
      <c r="B4" s="33" t="s">
        <v>20</v>
      </c>
      <c r="C4" s="78" t="s">
        <v>86</v>
      </c>
      <c r="D4" s="78" t="s">
        <v>87</v>
      </c>
      <c r="E4" s="79" t="s">
        <v>88</v>
      </c>
      <c r="F4" s="80"/>
    </row>
    <row r="5">
      <c r="B5" s="63" t="s">
        <v>113</v>
      </c>
      <c r="C5" s="81">
        <f>Input_History!E5*(1+Assumptions!C5)</f>
        <v>43993.55</v>
      </c>
      <c r="D5" s="81">
        <f>C5*(1+Assumptions!D5)</f>
        <v>45313.3565</v>
      </c>
      <c r="E5" s="81">
        <f>D5*(1+Assumptions!E5)</f>
        <v>47579.02433</v>
      </c>
      <c r="F5" s="45"/>
    </row>
    <row r="6">
      <c r="B6" s="82" t="s">
        <v>25</v>
      </c>
      <c r="C6" s="83">
        <f>C5*(1-Assumptions!C7)</f>
        <v>25956.1945</v>
      </c>
      <c r="D6" s="83">
        <f>D5*(1-Assumptions!D7)</f>
        <v>25602.04642</v>
      </c>
      <c r="E6" s="83">
        <f>E5*(1-Assumptions!E7)</f>
        <v>26406.3585</v>
      </c>
      <c r="F6" s="45"/>
    </row>
    <row r="7">
      <c r="B7" s="84" t="s">
        <v>26</v>
      </c>
      <c r="C7" s="83">
        <f t="shared" ref="C7:E7" si="1">C5-C6</f>
        <v>18037.3555</v>
      </c>
      <c r="D7" s="83">
        <f t="shared" si="1"/>
        <v>19711.31008</v>
      </c>
      <c r="E7" s="83">
        <f t="shared" si="1"/>
        <v>21172.66582</v>
      </c>
      <c r="F7" s="45"/>
    </row>
    <row r="8">
      <c r="B8" s="43" t="s">
        <v>114</v>
      </c>
      <c r="C8" s="83">
        <f>C5*Assumptions!C8</f>
        <v>14737.83925</v>
      </c>
      <c r="D8" s="83">
        <f>D5*Assumptions!D8</f>
        <v>14726.84086</v>
      </c>
      <c r="E8" s="83">
        <f>E5*Assumptions!E8</f>
        <v>14987.39266</v>
      </c>
      <c r="F8" s="45"/>
    </row>
    <row r="9">
      <c r="B9" s="63" t="s">
        <v>115</v>
      </c>
      <c r="C9" s="83">
        <f t="shared" ref="C9:E9" si="2">C7-C8</f>
        <v>3299.51625</v>
      </c>
      <c r="D9" s="83">
        <f t="shared" si="2"/>
        <v>4984.469215</v>
      </c>
      <c r="E9" s="83">
        <f t="shared" si="2"/>
        <v>6185.273162</v>
      </c>
      <c r="F9" s="45"/>
    </row>
    <row r="10">
      <c r="B10" s="82" t="s">
        <v>116</v>
      </c>
      <c r="C10" s="83">
        <f>Input_History!D45*Assumptions!C17</f>
        <v>278.635</v>
      </c>
      <c r="D10" s="83">
        <f>Input_History!D45*Assumptions!C17</f>
        <v>278.635</v>
      </c>
      <c r="E10" s="85">
        <f>Input_History!D45*Assumptions!C17</f>
        <v>278.635</v>
      </c>
      <c r="F10" s="45"/>
    </row>
    <row r="11">
      <c r="B11" s="63" t="s">
        <v>117</v>
      </c>
      <c r="C11" s="83">
        <f t="shared" ref="C11:E11" si="3">C9-C10</f>
        <v>3020.88125</v>
      </c>
      <c r="D11" s="83">
        <f t="shared" si="3"/>
        <v>4705.834215</v>
      </c>
      <c r="E11" s="83">
        <f t="shared" si="3"/>
        <v>5906.638162</v>
      </c>
      <c r="F11" s="45"/>
    </row>
    <row r="12">
      <c r="B12" s="63" t="s">
        <v>33</v>
      </c>
      <c r="C12" s="86">
        <f>C11*Assumptions!C9</f>
        <v>619.2806562</v>
      </c>
      <c r="D12" s="86">
        <f>D11*Assumptions!D9</f>
        <v>847.0501587</v>
      </c>
      <c r="E12" s="86">
        <f>E11*Assumptions!E9</f>
        <v>1004.128488</v>
      </c>
      <c r="F12" s="45"/>
    </row>
    <row r="13">
      <c r="B13" s="41" t="s">
        <v>34</v>
      </c>
      <c r="C13" s="83">
        <f t="shared" ref="C13:E13" si="4">C11-C12</f>
        <v>2401.600594</v>
      </c>
      <c r="D13" s="83">
        <f t="shared" si="4"/>
        <v>3858.784056</v>
      </c>
      <c r="E13" s="83">
        <f t="shared" si="4"/>
        <v>4902.509675</v>
      </c>
      <c r="F13" s="45"/>
    </row>
    <row r="14">
      <c r="C14" s="7"/>
      <c r="D14" s="7"/>
      <c r="E14" s="7"/>
    </row>
    <row r="15">
      <c r="C15" s="7"/>
      <c r="D15" s="7"/>
      <c r="E15" s="7"/>
    </row>
    <row r="16">
      <c r="C16" s="7"/>
      <c r="D16" s="7"/>
      <c r="E16" s="7"/>
    </row>
    <row r="17">
      <c r="B17" s="77" t="s">
        <v>36</v>
      </c>
      <c r="C17" s="7"/>
      <c r="D17" s="7"/>
      <c r="E17" s="7"/>
    </row>
    <row r="18">
      <c r="B18" s="33" t="s">
        <v>20</v>
      </c>
      <c r="C18" s="87" t="s">
        <v>86</v>
      </c>
      <c r="D18" s="87" t="s">
        <v>87</v>
      </c>
      <c r="E18" s="88" t="s">
        <v>88</v>
      </c>
    </row>
    <row r="19">
      <c r="B19" s="48" t="s">
        <v>37</v>
      </c>
      <c r="C19" s="89"/>
      <c r="D19" s="89"/>
      <c r="E19" s="89"/>
    </row>
    <row r="20">
      <c r="B20" s="43" t="s">
        <v>39</v>
      </c>
      <c r="C20" s="89">
        <f t="shared" ref="C20:E20" si="5">C329</f>
        <v>8074.477742</v>
      </c>
      <c r="D20" s="89">
        <f t="shared" si="5"/>
        <v>10214.39888</v>
      </c>
      <c r="E20" s="89">
        <f t="shared" si="5"/>
        <v>12801.57489</v>
      </c>
    </row>
    <row r="21">
      <c r="B21" s="43" t="s">
        <v>40</v>
      </c>
      <c r="C21" s="90">
        <f>Input_History!D25</f>
        <v>1687</v>
      </c>
      <c r="D21" s="91">
        <f>Input_History!D25</f>
        <v>1687</v>
      </c>
      <c r="E21" s="91">
        <f>Input_History!D25</f>
        <v>1687</v>
      </c>
    </row>
    <row r="22">
      <c r="B22" s="43" t="s">
        <v>41</v>
      </c>
      <c r="C22" s="89">
        <f>(C5/365)*Assumptions!C13</f>
        <v>4459.620137</v>
      </c>
      <c r="D22" s="89">
        <f>(D5/365)*Assumptions!D13</f>
        <v>4469.262559</v>
      </c>
      <c r="E22" s="89">
        <f>(E5/365)*Assumptions!E13</f>
        <v>4562.372196</v>
      </c>
    </row>
    <row r="23">
      <c r="B23" s="43" t="s">
        <v>42</v>
      </c>
      <c r="C23" s="89">
        <f>(C6/365)*Assumptions!C14</f>
        <v>7466.850473</v>
      </c>
      <c r="D23" s="89">
        <f>(D6/365)*Assumptions!D14</f>
        <v>7014.259294</v>
      </c>
      <c r="E23" s="89">
        <f>(E6/365)*Assumptions!E14</f>
        <v>6872.887829</v>
      </c>
    </row>
    <row r="24">
      <c r="B24" s="43" t="s">
        <v>43</v>
      </c>
      <c r="C24" s="90">
        <f>Input_History!D28</f>
        <v>2005</v>
      </c>
      <c r="D24" s="90">
        <f>Input_History!D28</f>
        <v>2005</v>
      </c>
      <c r="E24" s="90">
        <f>Input_History!D28</f>
        <v>2005</v>
      </c>
    </row>
    <row r="25">
      <c r="B25" s="49" t="s">
        <v>44</v>
      </c>
      <c r="C25" s="51">
        <f t="shared" ref="C25:E25" si="6">SUM(C19:C24)</f>
        <v>23692.94835</v>
      </c>
      <c r="D25" s="51">
        <f t="shared" si="6"/>
        <v>25389.92074</v>
      </c>
      <c r="E25" s="51">
        <f t="shared" si="6"/>
        <v>27928.83491</v>
      </c>
    </row>
    <row r="26">
      <c r="B26" s="43" t="s">
        <v>45</v>
      </c>
      <c r="C26" s="89">
        <f t="shared" ref="C26:E26" si="7">C297</f>
        <v>5423.6065</v>
      </c>
      <c r="D26" s="89">
        <f t="shared" si="7"/>
        <v>6196.033003</v>
      </c>
      <c r="E26" s="89">
        <f t="shared" si="7"/>
        <v>6931.893904</v>
      </c>
    </row>
    <row r="27">
      <c r="B27" s="43" t="s">
        <v>46</v>
      </c>
      <c r="C27" s="90">
        <f>Input_History!D31</f>
        <v>2712</v>
      </c>
      <c r="D27" s="90">
        <f>Input_History!D31</f>
        <v>2712</v>
      </c>
      <c r="E27" s="90">
        <f>Input_History!D31</f>
        <v>2712</v>
      </c>
    </row>
    <row r="28">
      <c r="B28" s="43" t="s">
        <v>47</v>
      </c>
      <c r="C28" s="90">
        <f>Input_History!D32</f>
        <v>259</v>
      </c>
      <c r="D28" s="90">
        <f>Input_History!D32</f>
        <v>259</v>
      </c>
      <c r="E28" s="90">
        <f>Input_History!D32</f>
        <v>259</v>
      </c>
    </row>
    <row r="29">
      <c r="B29" s="43" t="s">
        <v>48</v>
      </c>
      <c r="C29" s="90">
        <f>Input_History!D33</f>
        <v>240</v>
      </c>
      <c r="D29" s="90">
        <f>Input_History!D33</f>
        <v>240</v>
      </c>
      <c r="E29" s="90">
        <f>Input_History!D33</f>
        <v>240</v>
      </c>
    </row>
    <row r="30">
      <c r="B30" s="43" t="s">
        <v>49</v>
      </c>
      <c r="C30" s="90">
        <f>Input_History!D34</f>
        <v>5178</v>
      </c>
      <c r="D30" s="90">
        <f>Input_History!D34</f>
        <v>5178</v>
      </c>
      <c r="E30" s="90">
        <f>Input_History!D34</f>
        <v>5178</v>
      </c>
    </row>
    <row r="31">
      <c r="B31" s="49" t="s">
        <v>50</v>
      </c>
      <c r="C31" s="51">
        <f t="shared" ref="C31:E31" si="8">SUM(C25:C30)</f>
        <v>37505.55485</v>
      </c>
      <c r="D31" s="51">
        <f t="shared" si="8"/>
        <v>39974.95374</v>
      </c>
      <c r="E31" s="51">
        <f t="shared" si="8"/>
        <v>43249.72882</v>
      </c>
    </row>
    <row r="32">
      <c r="B32" s="41" t="s">
        <v>51</v>
      </c>
      <c r="C32" s="87" t="s">
        <v>86</v>
      </c>
      <c r="D32" s="87" t="s">
        <v>87</v>
      </c>
      <c r="E32" s="87" t="s">
        <v>88</v>
      </c>
    </row>
    <row r="33">
      <c r="B33" s="63" t="s">
        <v>53</v>
      </c>
      <c r="C33" s="92" t="str">
        <f>Input_History!D38</f>
        <v>---</v>
      </c>
      <c r="D33" s="92" t="str">
        <f>Input_History!D38</f>
        <v>---</v>
      </c>
      <c r="E33" s="92" t="str">
        <f>Input_History!D38</f>
        <v>---</v>
      </c>
    </row>
    <row r="34">
      <c r="B34" s="43" t="s">
        <v>55</v>
      </c>
      <c r="C34" s="93">
        <f>Input_History!D39</f>
        <v>5</v>
      </c>
      <c r="D34" s="93">
        <f>Input_History!D39</f>
        <v>5</v>
      </c>
      <c r="E34" s="93">
        <f>Input_History!D39</f>
        <v>5</v>
      </c>
    </row>
    <row r="35">
      <c r="B35" s="63" t="s">
        <v>56</v>
      </c>
      <c r="C35" s="81">
        <f>(C6/365)*Assumptions!C15</f>
        <v>2844.514466</v>
      </c>
      <c r="D35" s="81">
        <f>(D6/365)*Assumptions!D15</f>
        <v>2805.703718</v>
      </c>
      <c r="E35" s="81">
        <f>(E6/365)*Assumptions!E15</f>
        <v>2893.847507</v>
      </c>
    </row>
    <row r="36">
      <c r="B36" s="43" t="s">
        <v>57</v>
      </c>
      <c r="C36" s="93">
        <f>Input_History!D41</f>
        <v>502</v>
      </c>
      <c r="D36" s="93">
        <f>Input_History!D41</f>
        <v>502</v>
      </c>
      <c r="E36" s="93">
        <f>Input_History!D41</f>
        <v>502</v>
      </c>
    </row>
    <row r="37">
      <c r="B37" s="63" t="s">
        <v>58</v>
      </c>
      <c r="C37" s="93">
        <f>Input_History!D42</f>
        <v>5911</v>
      </c>
      <c r="D37" s="93">
        <f>Input_History!D42</f>
        <v>5911</v>
      </c>
      <c r="E37" s="93">
        <f>Input_History!D42</f>
        <v>5911</v>
      </c>
    </row>
    <row r="38">
      <c r="B38" s="63" t="s">
        <v>59</v>
      </c>
      <c r="C38" s="93">
        <f>Input_History!D43</f>
        <v>669</v>
      </c>
      <c r="D38" s="93">
        <f>Input_History!D43</f>
        <v>669</v>
      </c>
      <c r="E38" s="93">
        <f>Input_History!D43</f>
        <v>669</v>
      </c>
    </row>
    <row r="39">
      <c r="B39" s="49" t="s">
        <v>118</v>
      </c>
      <c r="C39" s="86">
        <f t="shared" ref="C39:E39" si="9">SUM(C33:C38)</f>
        <v>9931.514466</v>
      </c>
      <c r="D39" s="86">
        <f t="shared" si="9"/>
        <v>9892.703718</v>
      </c>
      <c r="E39" s="86">
        <f t="shared" si="9"/>
        <v>9980.847507</v>
      </c>
    </row>
    <row r="40">
      <c r="B40" s="63" t="s">
        <v>61</v>
      </c>
      <c r="C40" s="83">
        <f t="shared" ref="C40:E40" si="10">C305</f>
        <v>7961</v>
      </c>
      <c r="D40" s="83">
        <f t="shared" si="10"/>
        <v>7961</v>
      </c>
      <c r="E40" s="83">
        <f t="shared" si="10"/>
        <v>7961</v>
      </c>
    </row>
    <row r="41">
      <c r="B41" s="63" t="s">
        <v>62</v>
      </c>
      <c r="C41" s="93">
        <f>Input_History!D46</f>
        <v>2550</v>
      </c>
      <c r="D41" s="93">
        <f>Input_History!D46</f>
        <v>2550</v>
      </c>
      <c r="E41" s="93">
        <f>Input_History!D46</f>
        <v>2550</v>
      </c>
    </row>
    <row r="42">
      <c r="B42" s="63" t="s">
        <v>63</v>
      </c>
      <c r="C42" s="93">
        <f>Input_History!D47</f>
        <v>2289</v>
      </c>
      <c r="D42" s="93">
        <f>Input_History!D47</f>
        <v>2289</v>
      </c>
      <c r="E42" s="93">
        <f>Input_History!D47</f>
        <v>2289</v>
      </c>
    </row>
    <row r="43">
      <c r="B43" s="48" t="s">
        <v>67</v>
      </c>
      <c r="C43" s="94"/>
      <c r="D43" s="94"/>
      <c r="E43" s="95"/>
    </row>
    <row r="44">
      <c r="B44" s="43" t="s">
        <v>68</v>
      </c>
      <c r="C44" s="94"/>
      <c r="D44" s="94"/>
      <c r="E44" s="94"/>
    </row>
    <row r="45">
      <c r="B45" s="43" t="s">
        <v>69</v>
      </c>
      <c r="C45" s="96" t="str">
        <f>Input_History!D52</f>
        <v>--</v>
      </c>
      <c r="D45" s="96" t="str">
        <f>Input_History!D52</f>
        <v>--</v>
      </c>
      <c r="E45" s="96" t="str">
        <f>Input_History!D52</f>
        <v>--</v>
      </c>
    </row>
    <row r="46">
      <c r="B46" s="43" t="s">
        <v>70</v>
      </c>
      <c r="C46" s="90">
        <f>Input_History!D53</f>
        <v>3</v>
      </c>
      <c r="D46" s="90">
        <f>Input_History!D53</f>
        <v>3</v>
      </c>
      <c r="E46" s="90">
        <f>Input_History!D53</f>
        <v>3</v>
      </c>
    </row>
    <row r="47">
      <c r="B47" s="43" t="s">
        <v>71</v>
      </c>
      <c r="C47" s="90">
        <f>Input_History!D54</f>
        <v>14195</v>
      </c>
      <c r="D47" s="90">
        <f>Input_History!D54</f>
        <v>14195</v>
      </c>
      <c r="E47" s="90">
        <f>Input_History!D54</f>
        <v>14195</v>
      </c>
    </row>
    <row r="48">
      <c r="B48" s="43" t="s">
        <v>72</v>
      </c>
      <c r="C48" s="97">
        <f>Input_History!D55</f>
        <v>258</v>
      </c>
      <c r="D48" s="97">
        <f>Input_History!D55</f>
        <v>258</v>
      </c>
      <c r="E48" s="97">
        <f>Input_History!D55</f>
        <v>258</v>
      </c>
    </row>
    <row r="49">
      <c r="B49" s="43" t="s">
        <v>119</v>
      </c>
      <c r="C49" s="54">
        <v>-1970.0</v>
      </c>
      <c r="D49" s="58">
        <f t="shared" ref="D49:E49" si="11">C49</f>
        <v>-1970</v>
      </c>
      <c r="E49" s="58">
        <f t="shared" si="11"/>
        <v>-1970</v>
      </c>
    </row>
    <row r="50">
      <c r="B50" s="43" t="s">
        <v>73</v>
      </c>
      <c r="C50" s="42">
        <f>Input_History!D56+C13-(C13*Assumptions!C18)</f>
        <v>2288.040386</v>
      </c>
      <c r="D50" s="42">
        <f>C50+D13-(D13*Assumptions!D18)</f>
        <v>4796.250023</v>
      </c>
      <c r="E50" s="42">
        <f>D50+E13-(E13*Assumptions!E18)</f>
        <v>7982.881311</v>
      </c>
    </row>
    <row r="51">
      <c r="B51" s="55" t="s">
        <v>74</v>
      </c>
      <c r="C51" s="51">
        <f t="shared" ref="C51:E51" si="12">SUM(C44:C50)</f>
        <v>14774.04039</v>
      </c>
      <c r="D51" s="51">
        <f t="shared" si="12"/>
        <v>17282.25002</v>
      </c>
      <c r="E51" s="51">
        <f t="shared" si="12"/>
        <v>20468.88131</v>
      </c>
    </row>
    <row r="52">
      <c r="B52" s="48" t="s">
        <v>75</v>
      </c>
      <c r="C52" s="89">
        <f t="shared" ref="C52:E52" si="13">C39+C40+C41+C42+C51</f>
        <v>37505.55485</v>
      </c>
      <c r="D52" s="89">
        <f t="shared" si="13"/>
        <v>39974.95374</v>
      </c>
      <c r="E52" s="89">
        <f t="shared" si="13"/>
        <v>43249.72882</v>
      </c>
    </row>
    <row r="53">
      <c r="B53" s="45"/>
      <c r="C53" s="45"/>
      <c r="D53" s="45"/>
      <c r="E53" s="45"/>
    </row>
    <row r="81">
      <c r="B81" s="98"/>
    </row>
    <row r="82">
      <c r="B82" s="43"/>
    </row>
    <row r="83">
      <c r="B83" s="43"/>
      <c r="C83" s="99"/>
      <c r="D83" s="99"/>
      <c r="E83" s="99"/>
    </row>
    <row r="84">
      <c r="B84" s="43"/>
    </row>
    <row r="85">
      <c r="B85" s="43"/>
    </row>
    <row r="138">
      <c r="B138" s="100"/>
      <c r="C138" s="101"/>
      <c r="D138" s="7"/>
      <c r="E138" s="7"/>
    </row>
    <row r="139">
      <c r="B139" s="63"/>
      <c r="C139" s="94"/>
      <c r="D139" s="94"/>
      <c r="E139" s="95"/>
    </row>
    <row r="140">
      <c r="B140" s="63"/>
      <c r="C140" s="81"/>
      <c r="D140" s="89"/>
      <c r="E140" s="89"/>
    </row>
    <row r="141">
      <c r="B141" s="63"/>
      <c r="C141" s="81"/>
      <c r="D141" s="81"/>
      <c r="E141" s="81"/>
    </row>
    <row r="142">
      <c r="B142" s="63"/>
      <c r="C142" s="81"/>
      <c r="D142" s="81"/>
      <c r="E142" s="81"/>
    </row>
    <row r="143">
      <c r="B143" s="63"/>
      <c r="C143" s="89"/>
      <c r="D143" s="89"/>
      <c r="E143" s="89"/>
    </row>
    <row r="292">
      <c r="B292" s="102" t="s">
        <v>120</v>
      </c>
      <c r="C292" s="101"/>
      <c r="D292" s="101"/>
      <c r="E292" s="101"/>
    </row>
    <row r="293">
      <c r="B293" s="63"/>
      <c r="C293" s="87" t="s">
        <v>86</v>
      </c>
      <c r="D293" s="87" t="s">
        <v>87</v>
      </c>
      <c r="E293" s="87" t="s">
        <v>88</v>
      </c>
    </row>
    <row r="294">
      <c r="B294" s="63" t="s">
        <v>121</v>
      </c>
      <c r="C294" s="103">
        <f>Input_History!D30</f>
        <v>4828</v>
      </c>
      <c r="D294" s="81">
        <f t="shared" ref="D294:E294" si="14">C297</f>
        <v>5423.6065</v>
      </c>
      <c r="E294" s="81">
        <f t="shared" si="14"/>
        <v>6196.033003</v>
      </c>
    </row>
    <row r="295">
      <c r="B295" s="63" t="s">
        <v>122</v>
      </c>
      <c r="C295" s="81">
        <f>C5*Assumptions!C10</f>
        <v>1319.8065</v>
      </c>
      <c r="D295" s="81">
        <f>D5*Assumptions!D10</f>
        <v>1585.967478</v>
      </c>
      <c r="E295" s="81">
        <f>E5*Assumptions!E10</f>
        <v>1665.265851</v>
      </c>
    </row>
    <row r="296">
      <c r="B296" s="63" t="s">
        <v>123</v>
      </c>
      <c r="C296" s="81">
        <f>C294*Assumptions!C11</f>
        <v>724.2</v>
      </c>
      <c r="D296" s="81">
        <f>D294*Assumptions!D11</f>
        <v>813.540975</v>
      </c>
      <c r="E296" s="81">
        <f>E294*Assumptions!E11</f>
        <v>929.4049504</v>
      </c>
    </row>
    <row r="297">
      <c r="B297" s="41" t="s">
        <v>124</v>
      </c>
      <c r="C297" s="104">
        <f t="shared" ref="C297:E297" si="15">C294+C295-C296</f>
        <v>5423.6065</v>
      </c>
      <c r="D297" s="104">
        <f t="shared" si="15"/>
        <v>6196.033003</v>
      </c>
      <c r="E297" s="104">
        <f t="shared" si="15"/>
        <v>6931.893904</v>
      </c>
    </row>
    <row r="300">
      <c r="B300" s="105" t="s">
        <v>125</v>
      </c>
      <c r="C300" s="101"/>
      <c r="D300" s="101"/>
      <c r="E300" s="101"/>
    </row>
    <row r="301">
      <c r="B301" s="63"/>
      <c r="C301" s="87" t="s">
        <v>86</v>
      </c>
      <c r="D301" s="87" t="s">
        <v>87</v>
      </c>
      <c r="E301" s="87" t="s">
        <v>88</v>
      </c>
    </row>
    <row r="302">
      <c r="B302" s="82" t="s">
        <v>126</v>
      </c>
      <c r="C302" s="103">
        <f>Input_History!D45</f>
        <v>7961</v>
      </c>
      <c r="D302" s="81">
        <f t="shared" ref="D302:E302" si="16">C305</f>
        <v>7961</v>
      </c>
      <c r="E302" s="81">
        <f t="shared" si="16"/>
        <v>7961</v>
      </c>
    </row>
    <row r="303">
      <c r="B303" s="82" t="s">
        <v>127</v>
      </c>
      <c r="C303" s="106">
        <v>0.0</v>
      </c>
      <c r="D303" s="106">
        <v>0.0</v>
      </c>
      <c r="E303" s="106">
        <v>0.0</v>
      </c>
    </row>
    <row r="304">
      <c r="B304" s="82" t="s">
        <v>128</v>
      </c>
      <c r="C304" s="106">
        <v>0.0</v>
      </c>
      <c r="D304" s="106">
        <v>0.0</v>
      </c>
      <c r="E304" s="106">
        <v>0.0</v>
      </c>
    </row>
    <row r="305">
      <c r="B305" s="84" t="s">
        <v>129</v>
      </c>
      <c r="C305" s="104">
        <f t="shared" ref="C305:E305" si="17">C302+C303-C304</f>
        <v>7961</v>
      </c>
      <c r="D305" s="104">
        <f t="shared" si="17"/>
        <v>7961</v>
      </c>
      <c r="E305" s="104">
        <f t="shared" si="17"/>
        <v>7961</v>
      </c>
    </row>
    <row r="306">
      <c r="B306" s="43" t="s">
        <v>130</v>
      </c>
      <c r="C306" s="107">
        <f>Assumptions!C17</f>
        <v>0.035</v>
      </c>
      <c r="D306" s="107">
        <f>Assumptions!D17</f>
        <v>0.035</v>
      </c>
      <c r="E306" s="107">
        <f>Assumptions!E17</f>
        <v>0.035</v>
      </c>
    </row>
    <row r="307">
      <c r="B307" s="43" t="s">
        <v>30</v>
      </c>
      <c r="C307" s="89">
        <f t="shared" ref="C307:E307" si="18">C302*C306</f>
        <v>278.635</v>
      </c>
      <c r="D307" s="89">
        <f t="shared" si="18"/>
        <v>278.635</v>
      </c>
      <c r="E307" s="89">
        <f t="shared" si="18"/>
        <v>278.635</v>
      </c>
    </row>
    <row r="310">
      <c r="B310" s="105" t="s">
        <v>131</v>
      </c>
      <c r="C310" s="101"/>
      <c r="D310" s="101"/>
      <c r="E310" s="101"/>
    </row>
    <row r="311">
      <c r="B311" s="108"/>
      <c r="C311" s="109" t="s">
        <v>86</v>
      </c>
      <c r="D311" s="109" t="s">
        <v>87</v>
      </c>
      <c r="E311" s="109" t="s">
        <v>88</v>
      </c>
    </row>
    <row r="312">
      <c r="B312" s="110" t="s">
        <v>132</v>
      </c>
      <c r="C312" s="46">
        <f t="shared" ref="C312:E312" si="19">C13</f>
        <v>2401.600594</v>
      </c>
      <c r="D312" s="46">
        <f t="shared" si="19"/>
        <v>3858.784056</v>
      </c>
      <c r="E312" s="46">
        <f t="shared" si="19"/>
        <v>4902.509675</v>
      </c>
    </row>
    <row r="313">
      <c r="B313" s="111" t="s">
        <v>133</v>
      </c>
      <c r="C313" s="46">
        <f t="shared" ref="C313:E313" si="20">C296</f>
        <v>724.2</v>
      </c>
      <c r="D313" s="46">
        <f t="shared" si="20"/>
        <v>813.540975</v>
      </c>
      <c r="E313" s="46">
        <f t="shared" si="20"/>
        <v>929.4049504</v>
      </c>
    </row>
    <row r="314">
      <c r="B314" s="112" t="s">
        <v>134</v>
      </c>
      <c r="C314" s="113" t="s">
        <v>66</v>
      </c>
      <c r="D314" s="113" t="s">
        <v>66</v>
      </c>
      <c r="E314" s="113" t="s">
        <v>66</v>
      </c>
    </row>
    <row r="315">
      <c r="B315" s="111" t="s">
        <v>135</v>
      </c>
      <c r="C315" s="46">
        <f>Input_History!D26-C22</f>
        <v>257.379863</v>
      </c>
      <c r="D315" s="42">
        <f t="shared" ref="D315:E315" si="21">C22-D22</f>
        <v>-9.642421918</v>
      </c>
      <c r="E315" s="46">
        <f t="shared" si="21"/>
        <v>-93.10963664</v>
      </c>
    </row>
    <row r="316">
      <c r="B316" s="111" t="s">
        <v>136</v>
      </c>
      <c r="C316" s="46">
        <f>Input_History!D27-C23</f>
        <v>22.1495274</v>
      </c>
      <c r="D316" s="42">
        <f t="shared" ref="D316:E316" si="22">C23-D23</f>
        <v>452.5911788</v>
      </c>
      <c r="E316" s="42">
        <f t="shared" si="22"/>
        <v>141.371465</v>
      </c>
    </row>
    <row r="317">
      <c r="B317" s="111" t="s">
        <v>137</v>
      </c>
      <c r="C317" s="46">
        <f>Input_History!D28-C24</f>
        <v>0</v>
      </c>
      <c r="D317" s="42">
        <f>D24-E24</f>
        <v>0</v>
      </c>
      <c r="E317" s="42">
        <f>D24-E24</f>
        <v>0</v>
      </c>
    </row>
    <row r="318">
      <c r="B318" s="111" t="s">
        <v>138</v>
      </c>
      <c r="C318" s="46">
        <f>C35-Input_History!D40</f>
        <v>-634.4855342</v>
      </c>
      <c r="D318" s="42">
        <f t="shared" ref="D318:E318" si="23">D35-C35</f>
        <v>-38.81074822</v>
      </c>
      <c r="E318" s="42">
        <f t="shared" si="23"/>
        <v>88.14378936</v>
      </c>
    </row>
    <row r="319">
      <c r="B319" s="111" t="s">
        <v>139</v>
      </c>
      <c r="C319" s="46">
        <f>Input_History!D42-C37</f>
        <v>0</v>
      </c>
      <c r="D319" s="42">
        <f>D36-C36</f>
        <v>0</v>
      </c>
      <c r="E319" s="42">
        <f>D37-E37</f>
        <v>0</v>
      </c>
    </row>
    <row r="320">
      <c r="B320" s="111" t="s">
        <v>140</v>
      </c>
      <c r="C320" s="46">
        <f>C38-Input_History!D43</f>
        <v>0</v>
      </c>
      <c r="D320" s="42">
        <f t="shared" ref="D320:E320" si="24">D38-C38</f>
        <v>0</v>
      </c>
      <c r="E320" s="46">
        <f t="shared" si="24"/>
        <v>0</v>
      </c>
    </row>
    <row r="321">
      <c r="B321" s="112" t="s">
        <v>141</v>
      </c>
      <c r="C321" s="114">
        <f t="shared" ref="C321:E321" si="25">SUM(C312:C320)</f>
        <v>2770.84445</v>
      </c>
      <c r="D321" s="114">
        <f t="shared" si="25"/>
        <v>5076.46304</v>
      </c>
      <c r="E321" s="114">
        <f t="shared" si="25"/>
        <v>5968.320243</v>
      </c>
    </row>
    <row r="322">
      <c r="B322" s="115" t="s">
        <v>142</v>
      </c>
      <c r="C322" s="46">
        <f t="shared" ref="C322:E322" si="26">-C295</f>
        <v>-1319.8065</v>
      </c>
      <c r="D322" s="46">
        <f t="shared" si="26"/>
        <v>-1585.967478</v>
      </c>
      <c r="E322" s="46">
        <f t="shared" si="26"/>
        <v>-1665.265851</v>
      </c>
    </row>
    <row r="323">
      <c r="B323" s="116" t="s">
        <v>143</v>
      </c>
      <c r="C323" s="114">
        <f t="shared" ref="C323:E323" si="27">SUM(C322)</f>
        <v>-1319.8065</v>
      </c>
      <c r="D323" s="114">
        <f t="shared" si="27"/>
        <v>-1585.967478</v>
      </c>
      <c r="E323" s="114">
        <f t="shared" si="27"/>
        <v>-1665.265851</v>
      </c>
    </row>
    <row r="324">
      <c r="B324" s="115" t="s">
        <v>144</v>
      </c>
      <c r="C324" s="46">
        <f t="shared" ref="C324:E324" si="28">C304</f>
        <v>0</v>
      </c>
      <c r="D324" s="46">
        <f t="shared" si="28"/>
        <v>0</v>
      </c>
      <c r="E324" s="46">
        <f t="shared" si="28"/>
        <v>0</v>
      </c>
    </row>
    <row r="325">
      <c r="B325" s="115" t="s">
        <v>145</v>
      </c>
      <c r="C325" s="46">
        <f>-(C13*Assumptions!C18)</f>
        <v>-840.5602078</v>
      </c>
      <c r="D325" s="46">
        <f>-(D13*Assumptions!D18)</f>
        <v>-1350.57442</v>
      </c>
      <c r="E325" s="46">
        <f>-(E13*Assumptions!E18)</f>
        <v>-1715.878386</v>
      </c>
    </row>
    <row r="326">
      <c r="B326" s="116" t="s">
        <v>146</v>
      </c>
      <c r="C326" s="46">
        <f t="shared" ref="C326:E326" si="29">SUM(C324:C325)</f>
        <v>-840.5602078</v>
      </c>
      <c r="D326" s="46">
        <f t="shared" si="29"/>
        <v>-1350.57442</v>
      </c>
      <c r="E326" s="46">
        <f t="shared" si="29"/>
        <v>-1715.878386</v>
      </c>
    </row>
    <row r="327">
      <c r="B327" s="115" t="s">
        <v>147</v>
      </c>
      <c r="C327" s="46">
        <f t="shared" ref="C327:E327" si="30">SUM(C321,C323,C326)</f>
        <v>610.4777421</v>
      </c>
      <c r="D327" s="46">
        <f t="shared" si="30"/>
        <v>2139.921143</v>
      </c>
      <c r="E327" s="46">
        <f t="shared" si="30"/>
        <v>2587.176005</v>
      </c>
    </row>
    <row r="328">
      <c r="B328" s="115" t="s">
        <v>148</v>
      </c>
      <c r="C328" s="46">
        <f>Input_History!D24</f>
        <v>7464</v>
      </c>
      <c r="D328" s="46">
        <f t="shared" ref="D328:E328" si="31">C329</f>
        <v>8074.477742</v>
      </c>
      <c r="E328" s="46">
        <f t="shared" si="31"/>
        <v>10214.39888</v>
      </c>
    </row>
    <row r="329">
      <c r="B329" s="117" t="s">
        <v>149</v>
      </c>
      <c r="C329" s="114">
        <f t="shared" ref="C329:E329" si="32">C328+C327</f>
        <v>8074.477742</v>
      </c>
      <c r="D329" s="114">
        <f t="shared" si="32"/>
        <v>10214.39888</v>
      </c>
      <c r="E329" s="114">
        <f t="shared" si="32"/>
        <v>12801.57489</v>
      </c>
    </row>
    <row r="330">
      <c r="B330" s="45"/>
      <c r="C330" s="45"/>
      <c r="D330" s="45"/>
      <c r="E330" s="45"/>
    </row>
    <row r="331">
      <c r="B331" s="45"/>
      <c r="C331" s="45"/>
      <c r="D331" s="45"/>
      <c r="E331" s="45"/>
    </row>
    <row r="332">
      <c r="B332" s="45"/>
      <c r="C332" s="45"/>
      <c r="D332" s="45"/>
      <c r="E332" s="45"/>
    </row>
    <row r="333">
      <c r="B333" s="45"/>
      <c r="C333" s="45"/>
      <c r="D333" s="45"/>
      <c r="E333" s="45"/>
    </row>
    <row r="334">
      <c r="B334" s="45"/>
      <c r="C334" s="45"/>
      <c r="D334" s="45"/>
      <c r="E334" s="45"/>
    </row>
    <row r="335">
      <c r="B335" s="45"/>
      <c r="C335" s="45"/>
      <c r="D335" s="45"/>
      <c r="E335" s="4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38"/>
  </cols>
  <sheetData>
    <row r="1">
      <c r="A1" s="118" t="s">
        <v>150</v>
      </c>
    </row>
    <row r="3">
      <c r="B3" s="77" t="s">
        <v>151</v>
      </c>
      <c r="C3" s="78" t="s">
        <v>86</v>
      </c>
      <c r="D3" s="78" t="s">
        <v>87</v>
      </c>
      <c r="E3" s="79" t="s">
        <v>88</v>
      </c>
    </row>
    <row r="4">
      <c r="B4" s="71" t="s">
        <v>77</v>
      </c>
      <c r="C4" s="119">
        <f>(Model_Forecast!C5/Input_History!E5)-1</f>
        <v>-0.05</v>
      </c>
      <c r="D4" s="119">
        <f>(Model_Forecast!D5/Model_Forecast!C5)-1</f>
        <v>0.03</v>
      </c>
      <c r="E4" s="119">
        <f>(Model_Forecast!E5/Model_Forecast!D5)-1</f>
        <v>0.05</v>
      </c>
    </row>
    <row r="5">
      <c r="B5" s="71" t="s">
        <v>78</v>
      </c>
      <c r="C5" s="120">
        <f>Model_Forecast!C7/Model_Forecast!C5</f>
        <v>0.41</v>
      </c>
      <c r="D5" s="120">
        <f>Model_Forecast!D7/Model_Forecast!D5</f>
        <v>0.435</v>
      </c>
      <c r="E5" s="120">
        <f>Model_Forecast!E7/Model_Forecast!E5</f>
        <v>0.445</v>
      </c>
    </row>
    <row r="6">
      <c r="B6" s="71" t="s">
        <v>152</v>
      </c>
      <c r="C6" s="120">
        <f>Model_Forecast!C9/Model_Forecast!C5</f>
        <v>0.075</v>
      </c>
      <c r="D6" s="120">
        <f>Model_Forecast!D9/Model_Forecast!D5</f>
        <v>0.11</v>
      </c>
      <c r="E6" s="120">
        <f>Model_Forecast!E9/Model_Forecast!E5</f>
        <v>0.13</v>
      </c>
    </row>
    <row r="7">
      <c r="B7" s="71" t="s">
        <v>153</v>
      </c>
      <c r="C7" s="120">
        <f>Model_Forecast!C13/Model_Forecast!C5</f>
        <v>0.05458983405</v>
      </c>
      <c r="D7" s="120">
        <f>Model_Forecast!D13/Model_Forecast!D5</f>
        <v>0.08515776262</v>
      </c>
      <c r="E7" s="120">
        <f>Model_Forecast!E13/Model_Forecast!E5</f>
        <v>0.1030393066</v>
      </c>
    </row>
    <row r="8">
      <c r="B8" s="71" t="s">
        <v>154</v>
      </c>
      <c r="C8" s="120">
        <f>Model_Forecast!C12/Model_Forecast!C11</f>
        <v>0.205</v>
      </c>
      <c r="D8" s="120">
        <f>Model_Forecast!D12/Model_Forecast!D11</f>
        <v>0.18</v>
      </c>
      <c r="E8" s="120">
        <f>Model_Forecast!E12/Model_Forecast!E11</f>
        <v>0.17</v>
      </c>
    </row>
    <row r="9">
      <c r="B9" s="82"/>
    </row>
    <row r="10">
      <c r="B10" s="63"/>
    </row>
    <row r="11">
      <c r="B11" s="63"/>
    </row>
    <row r="12">
      <c r="B12" s="77" t="s">
        <v>155</v>
      </c>
      <c r="C12" s="78" t="s">
        <v>86</v>
      </c>
      <c r="D12" s="78" t="s">
        <v>87</v>
      </c>
      <c r="E12" s="79" t="s">
        <v>88</v>
      </c>
    </row>
    <row r="13">
      <c r="B13" s="71" t="s">
        <v>156</v>
      </c>
      <c r="C13" s="120">
        <f>Model_Forecast!C13/AVERAGE(Model_Forecast!C51,Input_History!D57)</f>
        <v>0.1716223338</v>
      </c>
      <c r="D13" s="121">
        <f>Model_Forecast!D13/AVERAGE(Model_Forecast!D51,Model_Forecast!C51)</f>
        <v>0.2407505053</v>
      </c>
      <c r="E13" s="120">
        <f>Model_Forecast!E13/AVERAGE(Model_Forecast!E51,Model_Forecast!D51)</f>
        <v>0.2597278281</v>
      </c>
    </row>
    <row r="14">
      <c r="B14" s="71" t="s">
        <v>157</v>
      </c>
      <c r="C14" s="120">
        <f>Model_Forecast!C13/AVERAGE(Model_Forecast!C31,Input_History!D35)</f>
        <v>0.06483404263</v>
      </c>
      <c r="D14" s="121">
        <f>Model_Forecast!D13/AVERAGE(Model_Forecast!D31,Model_Forecast!C31)</f>
        <v>0.09960657529</v>
      </c>
      <c r="E14" s="120">
        <f>Model_Forecast!E13/AVERAGE(Model_Forecast!E31,Model_Forecast!D31)</f>
        <v>0.117813839</v>
      </c>
    </row>
    <row r="15">
      <c r="B15" s="71" t="s">
        <v>158</v>
      </c>
      <c r="C15" s="122">
        <f>Model_Forecast!C31/Model_Forecast!C39</f>
        <v>3.776418489</v>
      </c>
      <c r="D15" s="122">
        <f>Model_Forecast!D31/Model_Forecast!D39</f>
        <v>4.040852216</v>
      </c>
      <c r="E15" s="122">
        <f>Model_Forecast!E31/Model_Forecast!E39</f>
        <v>4.333272178</v>
      </c>
    </row>
    <row r="16">
      <c r="B16" s="71" t="s">
        <v>159</v>
      </c>
      <c r="C16" s="122">
        <f>(Model_Forecast!C40 - Model_Forecast!C20) / (Model_Forecast!C9 + Model_Forecast!C310)</f>
        <v>-0.03439223617</v>
      </c>
      <c r="D16" s="122">
        <f>(Model_Forecast!D40 - Model_Forecast!D20) / (Model_Forecast!D9 + Model_Forecast!D310)</f>
        <v>-0.4520840209</v>
      </c>
      <c r="E16" s="122">
        <f>(Model_Forecast!E40 - Model_Forecast!E20) / (Model_Forecast!E9 + Model_Forecast!E310)</f>
        <v>-0.7825967848</v>
      </c>
      <c r="F16" s="123"/>
    </row>
    <row r="17">
      <c r="B17" s="43" t="s">
        <v>160</v>
      </c>
      <c r="C17" s="124">
        <f>Model_Forecast!C5/AVERAGE(Model_Forecast!C31,Input_History!D35)</f>
        <v>1.187657808</v>
      </c>
      <c r="D17" s="124">
        <f>Model_Forecast!D5/AVERAGE(Model_Forecast!D31,Model_Forecast!C31)</f>
        <v>1.169671117</v>
      </c>
      <c r="E17" s="124">
        <f>Model_Forecast!E5/AVERAGE(Model_Forecast!E31,Model_Forecast!D31)</f>
        <v>1.143387343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  <col customWidth="1" min="3" max="3" width="22.75"/>
    <col customWidth="1" min="4" max="4" width="20.38"/>
    <col customWidth="1" min="5" max="5" width="19.88"/>
  </cols>
  <sheetData>
    <row r="1">
      <c r="A1" s="29" t="s">
        <v>161</v>
      </c>
      <c r="B1" s="30"/>
      <c r="C1" s="30"/>
      <c r="D1" s="30"/>
      <c r="E1" s="30"/>
      <c r="F1" s="118"/>
    </row>
    <row r="3">
      <c r="B3" s="31" t="s">
        <v>162</v>
      </c>
      <c r="C3" s="30"/>
      <c r="G3" s="125"/>
    </row>
    <row r="4">
      <c r="A4" s="32"/>
      <c r="B4" s="33"/>
      <c r="C4" s="78" t="s">
        <v>86</v>
      </c>
      <c r="D4" s="78" t="s">
        <v>87</v>
      </c>
      <c r="E4" s="79" t="s">
        <v>88</v>
      </c>
      <c r="F4" s="32"/>
      <c r="G4" s="33"/>
      <c r="H4" s="80"/>
      <c r="I4" s="80"/>
      <c r="J4" s="80"/>
    </row>
    <row r="5">
      <c r="A5" s="39"/>
      <c r="B5" s="71" t="s">
        <v>163</v>
      </c>
      <c r="C5" s="91">
        <f>Model_Forecast!C9</f>
        <v>3299.51625</v>
      </c>
      <c r="D5" s="91">
        <f>Model_Forecast!D9</f>
        <v>4984.469215</v>
      </c>
      <c r="E5" s="91">
        <f>Model_Forecast!E9</f>
        <v>6185.273162</v>
      </c>
      <c r="F5" s="39"/>
      <c r="G5" s="36"/>
      <c r="H5" s="38"/>
      <c r="I5" s="38"/>
      <c r="J5" s="38"/>
    </row>
    <row r="6">
      <c r="B6" s="71" t="s">
        <v>164</v>
      </c>
      <c r="C6" s="126">
        <f>-(C5*Assumptions!C9)</f>
        <v>-676.4008312</v>
      </c>
      <c r="D6" s="126">
        <f>-(D5*Assumptions!D9)</f>
        <v>-897.2044587</v>
      </c>
      <c r="E6" s="126">
        <f>-(E5*Assumptions!E9)</f>
        <v>-1051.496438</v>
      </c>
      <c r="G6" s="41"/>
      <c r="H6" s="127"/>
      <c r="I6" s="127"/>
      <c r="J6" s="127"/>
    </row>
    <row r="7">
      <c r="B7" s="71" t="s">
        <v>165</v>
      </c>
      <c r="C7" s="126">
        <f t="shared" ref="C7:E7" si="1">SUM(C5:C6)</f>
        <v>2623.115419</v>
      </c>
      <c r="D7" s="126">
        <f t="shared" si="1"/>
        <v>4087.264756</v>
      </c>
      <c r="E7" s="126">
        <f t="shared" si="1"/>
        <v>5133.776725</v>
      </c>
      <c r="G7" s="45"/>
      <c r="H7" s="45"/>
      <c r="I7" s="45"/>
      <c r="J7" s="45"/>
    </row>
    <row r="8">
      <c r="B8" s="71" t="s">
        <v>166</v>
      </c>
      <c r="C8" s="91">
        <f>Model_Forecast!C313</f>
        <v>724.2</v>
      </c>
      <c r="D8" s="91">
        <f>Model_Forecast!D313</f>
        <v>813.540975</v>
      </c>
      <c r="E8" s="91">
        <f>Model_Forecast!E313</f>
        <v>929.4049504</v>
      </c>
      <c r="G8" s="43"/>
      <c r="H8" s="38"/>
      <c r="I8" s="38"/>
      <c r="J8" s="38"/>
    </row>
    <row r="9">
      <c r="B9" s="71" t="s">
        <v>167</v>
      </c>
      <c r="C9" s="91">
        <f>-Model_Forecast!C295</f>
        <v>-1319.8065</v>
      </c>
      <c r="D9" s="91">
        <f>-Model_Forecast!D295</f>
        <v>-1585.967478</v>
      </c>
      <c r="E9" s="91">
        <f>-Model_Forecast!E295</f>
        <v>-1665.265851</v>
      </c>
      <c r="G9" s="43"/>
      <c r="H9" s="38"/>
      <c r="I9" s="38"/>
      <c r="J9" s="38"/>
    </row>
    <row r="10">
      <c r="B10" s="71" t="s">
        <v>168</v>
      </c>
      <c r="C10" s="126">
        <f>SUM(Model_Forecast!C315:C320)</f>
        <v>-354.9561438</v>
      </c>
      <c r="D10" s="126">
        <f>SUM(Model_Forecast!D315:D320)</f>
        <v>404.1380086</v>
      </c>
      <c r="E10" s="126">
        <f>SUM(Model_Forecast!E315:E320)</f>
        <v>136.4056177</v>
      </c>
      <c r="G10" s="43"/>
      <c r="H10" s="38"/>
      <c r="I10" s="38"/>
      <c r="J10" s="38"/>
    </row>
    <row r="11">
      <c r="B11" s="71" t="s">
        <v>169</v>
      </c>
      <c r="C11" s="126">
        <f t="shared" ref="C11:E11" si="2">SUM(C7:C10)</f>
        <v>1672.552775</v>
      </c>
      <c r="D11" s="126">
        <f t="shared" si="2"/>
        <v>3718.976262</v>
      </c>
      <c r="E11" s="126">
        <f t="shared" si="2"/>
        <v>4534.321441</v>
      </c>
      <c r="G11" s="43"/>
      <c r="H11" s="38"/>
      <c r="I11" s="38"/>
      <c r="J11" s="38"/>
    </row>
    <row r="12">
      <c r="B12" s="43"/>
      <c r="C12" s="38"/>
      <c r="D12" s="38"/>
      <c r="E12" s="38"/>
      <c r="G12" s="43"/>
      <c r="H12" s="38"/>
      <c r="I12" s="38"/>
      <c r="J12" s="38"/>
    </row>
    <row r="13">
      <c r="A13" s="128"/>
      <c r="B13" s="129" t="s">
        <v>170</v>
      </c>
      <c r="C13" s="130"/>
      <c r="D13" s="131"/>
      <c r="E13" s="91"/>
      <c r="F13" s="45"/>
      <c r="G13" s="43"/>
      <c r="H13" s="46"/>
      <c r="I13" s="46"/>
      <c r="J13" s="46"/>
    </row>
    <row r="14">
      <c r="A14" s="128"/>
      <c r="B14" s="71"/>
      <c r="C14" s="78" t="s">
        <v>86</v>
      </c>
      <c r="D14" s="78" t="s">
        <v>87</v>
      </c>
      <c r="E14" s="79" t="s">
        <v>88</v>
      </c>
      <c r="F14" s="45"/>
      <c r="G14" s="45"/>
      <c r="H14" s="45"/>
    </row>
    <row r="15">
      <c r="A15" s="128"/>
      <c r="B15" s="132" t="s">
        <v>171</v>
      </c>
      <c r="C15" s="133">
        <v>0.085</v>
      </c>
      <c r="D15" s="133">
        <v>0.085</v>
      </c>
      <c r="E15" s="133">
        <v>0.085</v>
      </c>
      <c r="F15" s="45"/>
      <c r="G15" s="45"/>
      <c r="H15" s="45"/>
    </row>
    <row r="16">
      <c r="A16" s="128"/>
      <c r="B16" s="132" t="s">
        <v>172</v>
      </c>
      <c r="C16" s="133">
        <v>0.025</v>
      </c>
      <c r="D16" s="133">
        <v>0.025</v>
      </c>
      <c r="E16" s="133">
        <v>0.025</v>
      </c>
      <c r="F16" s="45"/>
      <c r="G16" s="45"/>
      <c r="H16" s="33"/>
    </row>
    <row r="17">
      <c r="A17" s="128"/>
      <c r="B17" s="132" t="s">
        <v>173</v>
      </c>
      <c r="C17" s="103">
        <f>Input_History!E17</f>
        <v>1487.6</v>
      </c>
      <c r="D17" s="103">
        <f>Input_History!E17</f>
        <v>1487.6</v>
      </c>
      <c r="E17" s="103">
        <f>Input_History!E17</f>
        <v>1487.6</v>
      </c>
      <c r="H17" s="33"/>
    </row>
    <row r="18">
      <c r="A18" s="128"/>
      <c r="B18" s="132" t="s">
        <v>174</v>
      </c>
      <c r="C18" s="134">
        <f>Model_Forecast!C40-Model_Forecast!C20</f>
        <v>-113.4777421</v>
      </c>
      <c r="D18" s="134">
        <f>Model_Forecast!D40-Model_Forecast!D20</f>
        <v>-2253.398885</v>
      </c>
      <c r="E18" s="134">
        <f>Model_Forecast!E40-Model_Forecast!E20</f>
        <v>-4840.57489</v>
      </c>
      <c r="H18" s="33"/>
    </row>
    <row r="19">
      <c r="B19" s="71"/>
      <c r="C19" s="71"/>
      <c r="D19" s="126"/>
      <c r="E19" s="126"/>
    </row>
    <row r="20">
      <c r="B20" s="43" t="s">
        <v>175</v>
      </c>
      <c r="C20" s="53" t="s">
        <v>176</v>
      </c>
      <c r="D20" s="53" t="s">
        <v>176</v>
      </c>
      <c r="E20" s="135">
        <f>(E11*(1+C16))/(C15-C16)</f>
        <v>77461.32462</v>
      </c>
    </row>
    <row r="21">
      <c r="B21" s="43" t="s">
        <v>177</v>
      </c>
      <c r="C21" s="53">
        <v>0.5</v>
      </c>
      <c r="D21" s="53">
        <v>1.5</v>
      </c>
      <c r="E21" s="53">
        <v>2.5</v>
      </c>
    </row>
    <row r="22">
      <c r="B22" s="43" t="s">
        <v>178</v>
      </c>
      <c r="C22" s="136">
        <f t="shared" ref="C22:E22" si="3">1/(1+C15)^C21</f>
        <v>0.9600307215</v>
      </c>
      <c r="D22" s="136">
        <f t="shared" si="3"/>
        <v>0.8848209415</v>
      </c>
      <c r="E22" s="136">
        <f t="shared" si="3"/>
        <v>0.8155031718</v>
      </c>
    </row>
    <row r="23">
      <c r="B23" s="43" t="s">
        <v>179</v>
      </c>
      <c r="C23" s="135">
        <f t="shared" ref="C23:E23" si="4">C11*C22</f>
        <v>1605.702047</v>
      </c>
      <c r="D23" s="135">
        <f t="shared" si="4"/>
        <v>3290.628078</v>
      </c>
      <c r="E23" s="135">
        <f t="shared" si="4"/>
        <v>3697.753518</v>
      </c>
    </row>
    <row r="24">
      <c r="B24" s="43" t="s">
        <v>3</v>
      </c>
      <c r="C24" s="53" t="s">
        <v>176</v>
      </c>
      <c r="D24" s="53" t="s">
        <v>176</v>
      </c>
      <c r="E24" s="89">
        <f>E20*E22</f>
        <v>63169.95593</v>
      </c>
    </row>
    <row r="25">
      <c r="B25" s="43" t="s">
        <v>180</v>
      </c>
      <c r="C25" s="89">
        <f>SUM(C23:E23)</f>
        <v>8594.083643</v>
      </c>
      <c r="D25" s="53" t="s">
        <v>176</v>
      </c>
      <c r="E25" s="53" t="s">
        <v>176</v>
      </c>
    </row>
    <row r="26">
      <c r="B26" s="43" t="s">
        <v>181</v>
      </c>
      <c r="C26" s="89">
        <f>E24</f>
        <v>63169.95593</v>
      </c>
      <c r="D26" s="53" t="s">
        <v>176</v>
      </c>
      <c r="E26" s="53" t="s">
        <v>176</v>
      </c>
    </row>
    <row r="27">
      <c r="B27" s="43" t="s">
        <v>182</v>
      </c>
      <c r="C27" s="89">
        <f>SUM(C25:C26)</f>
        <v>71764.03957</v>
      </c>
      <c r="D27" s="53" t="s">
        <v>176</v>
      </c>
      <c r="E27" s="53" t="s">
        <v>176</v>
      </c>
    </row>
    <row r="28">
      <c r="B28" s="43" t="s">
        <v>183</v>
      </c>
      <c r="C28" s="89">
        <f>C18</f>
        <v>-113.4777421</v>
      </c>
      <c r="D28" s="53" t="s">
        <v>176</v>
      </c>
      <c r="E28" s="53" t="s">
        <v>176</v>
      </c>
    </row>
    <row r="29">
      <c r="B29" s="43" t="s">
        <v>184</v>
      </c>
      <c r="C29" s="89">
        <f>SUM(C27:C28)</f>
        <v>71650.56183</v>
      </c>
      <c r="D29" s="53" t="s">
        <v>176</v>
      </c>
      <c r="E29" s="53" t="s">
        <v>176</v>
      </c>
    </row>
    <row r="30">
      <c r="B30" s="43" t="s">
        <v>185</v>
      </c>
      <c r="C30" s="89">
        <f>C29/E17</f>
        <v>48.16520693</v>
      </c>
      <c r="D30" s="53" t="s">
        <v>176</v>
      </c>
      <c r="E30" s="53" t="s">
        <v>176</v>
      </c>
    </row>
    <row r="31">
      <c r="D31" s="43"/>
      <c r="E31" s="43"/>
    </row>
    <row r="33">
      <c r="B33" s="129" t="s">
        <v>186</v>
      </c>
      <c r="C33" s="130"/>
    </row>
    <row r="34">
      <c r="B34" s="137"/>
      <c r="C34" s="71" t="s">
        <v>187</v>
      </c>
      <c r="D34" s="72">
        <v>0.075</v>
      </c>
      <c r="E34" s="72">
        <v>0.08</v>
      </c>
      <c r="F34" s="72">
        <v>0.085</v>
      </c>
      <c r="G34" s="72">
        <v>0.09</v>
      </c>
      <c r="H34" s="72">
        <v>0.095</v>
      </c>
    </row>
    <row r="35">
      <c r="C35" s="72">
        <v>0.02</v>
      </c>
      <c r="D35" s="71">
        <v>50.0</v>
      </c>
      <c r="E35" s="71">
        <v>45.0</v>
      </c>
      <c r="F35" s="71">
        <v>41.0</v>
      </c>
      <c r="G35" s="71">
        <v>37.0</v>
      </c>
      <c r="H35" s="67">
        <v>34.0</v>
      </c>
    </row>
    <row r="36">
      <c r="C36" s="72">
        <v>0.0225</v>
      </c>
      <c r="D36" s="71">
        <v>53.0</v>
      </c>
      <c r="E36" s="71">
        <v>49.0</v>
      </c>
      <c r="F36" s="71">
        <v>44.0</v>
      </c>
      <c r="G36" s="71">
        <v>40.0</v>
      </c>
      <c r="H36" s="71">
        <v>37.0</v>
      </c>
    </row>
    <row r="37">
      <c r="C37" s="72">
        <v>0.025</v>
      </c>
      <c r="D37" s="71">
        <v>57.0</v>
      </c>
      <c r="E37" s="71">
        <v>52.0</v>
      </c>
      <c r="F37" s="67">
        <v>48.0</v>
      </c>
      <c r="G37" s="71">
        <v>44.0</v>
      </c>
      <c r="H37" s="71">
        <v>40.0</v>
      </c>
    </row>
    <row r="38">
      <c r="C38" s="72">
        <v>0.0275</v>
      </c>
      <c r="D38" s="71">
        <v>60.0</v>
      </c>
      <c r="E38" s="71">
        <v>55.0</v>
      </c>
      <c r="F38" s="71">
        <v>52.0</v>
      </c>
      <c r="G38" s="71">
        <v>47.0</v>
      </c>
      <c r="H38" s="71">
        <v>43.0</v>
      </c>
    </row>
    <row r="39">
      <c r="C39" s="72">
        <v>0.03</v>
      </c>
      <c r="D39" s="67">
        <v>64.0</v>
      </c>
      <c r="E39" s="71">
        <v>59.0</v>
      </c>
      <c r="F39" s="71">
        <v>55.0</v>
      </c>
      <c r="G39" s="71">
        <v>50.0</v>
      </c>
      <c r="H39" s="71">
        <v>46.0</v>
      </c>
    </row>
    <row r="40">
      <c r="C40" s="138"/>
      <c r="D40" s="45"/>
      <c r="E40" s="45"/>
      <c r="F40" s="45"/>
      <c r="G40" s="45"/>
      <c r="H40" s="45"/>
    </row>
    <row r="41">
      <c r="C41" s="45"/>
      <c r="D41" s="45"/>
      <c r="E41" s="45"/>
      <c r="F41" s="45"/>
      <c r="G41" s="45"/>
      <c r="H41" s="45"/>
    </row>
    <row r="42">
      <c r="C42" s="45"/>
      <c r="D42" s="45"/>
      <c r="E42" s="45"/>
      <c r="F42" s="45"/>
      <c r="G42" s="45"/>
      <c r="H42" s="45"/>
    </row>
    <row r="43">
      <c r="C43" s="45"/>
      <c r="D43" s="45"/>
      <c r="E43" s="45"/>
      <c r="F43" s="45"/>
      <c r="G43" s="45"/>
      <c r="H43" s="45"/>
    </row>
    <row r="44">
      <c r="C44" s="45"/>
      <c r="D44" s="45"/>
      <c r="E44" s="45"/>
      <c r="F44" s="45"/>
      <c r="G44" s="45"/>
      <c r="H44" s="45"/>
    </row>
    <row r="45">
      <c r="C45" s="45"/>
      <c r="D45" s="45"/>
      <c r="E45" s="45"/>
      <c r="F45" s="45"/>
      <c r="G45" s="45"/>
      <c r="H45" s="45"/>
    </row>
    <row r="46">
      <c r="C46" s="45"/>
      <c r="D46" s="45"/>
      <c r="E46" s="45"/>
      <c r="F46" s="45"/>
      <c r="G46" s="45"/>
      <c r="H46" s="45"/>
    </row>
    <row r="47">
      <c r="C47" s="45"/>
      <c r="D47" s="45"/>
      <c r="E47" s="45"/>
      <c r="F47" s="45"/>
      <c r="G47" s="45"/>
      <c r="H47" s="45"/>
    </row>
    <row r="48">
      <c r="C48" s="45"/>
      <c r="D48" s="45"/>
      <c r="E48" s="45"/>
      <c r="F48" s="45"/>
      <c r="G48" s="45"/>
      <c r="H48" s="45"/>
    </row>
    <row r="49">
      <c r="C49" s="45"/>
      <c r="D49" s="45"/>
      <c r="E49" s="45"/>
      <c r="F49" s="45"/>
      <c r="G49" s="45"/>
      <c r="H49" s="45"/>
    </row>
    <row r="50">
      <c r="C50" s="45"/>
      <c r="D50" s="45"/>
      <c r="E50" s="45"/>
      <c r="F50" s="45"/>
      <c r="G50" s="45"/>
      <c r="H50" s="45"/>
    </row>
  </sheetData>
  <conditionalFormatting sqref="D35:H3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